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5440" windowHeight="15390" tabRatio="600" firstSheet="0" activeTab="0" autoFilterDateGrouping="1"/>
  </bookViews>
  <sheets>
    <sheet xmlns:r="http://schemas.openxmlformats.org/officeDocument/2006/relationships" name="Feuil1 " sheetId="1" state="visible" r:id="rId1"/>
    <sheet xmlns:r="http://schemas.openxmlformats.org/officeDocument/2006/relationships" name="Feuil2" sheetId="2" state="visible" r:id="rId2"/>
    <sheet xmlns:r="http://schemas.openxmlformats.org/officeDocument/2006/relationships" name="Type echantillon" sheetId="3" state="visible" r:id="rId3"/>
    <sheet xmlns:r="http://schemas.openxmlformats.org/officeDocument/2006/relationships" name="Espèces" sheetId="4" state="visible" r:id="rId4"/>
    <sheet xmlns:r="http://schemas.openxmlformats.org/officeDocument/2006/relationships" name="Type pêche " sheetId="5" state="visible" r:id="rId5"/>
    <sheet xmlns:r="http://schemas.openxmlformats.org/officeDocument/2006/relationships" name="Stade" sheetId="6" state="visible" r:id="rId6"/>
    <sheet xmlns:r="http://schemas.openxmlformats.org/officeDocument/2006/relationships" name="Sous espèce" sheetId="7" state="visible" r:id="rId7"/>
    <sheet xmlns:r="http://schemas.openxmlformats.org/officeDocument/2006/relationships" name="Maturité sexuelle" sheetId="8" state="visible" r:id="rId8"/>
    <sheet xmlns:r="http://schemas.openxmlformats.org/officeDocument/2006/relationships" name="Sexe" sheetId="9" state="visible" r:id="rId9"/>
    <sheet xmlns:r="http://schemas.openxmlformats.org/officeDocument/2006/relationships" name="Type engin technique " sheetId="10" state="visible" r:id="rId10"/>
    <sheet xmlns:r="http://schemas.openxmlformats.org/officeDocument/2006/relationships" name="type pêche engins" sheetId="11" state="visible" r:id="rId11"/>
    <sheet xmlns:r="http://schemas.openxmlformats.org/officeDocument/2006/relationships" name="Categorie de pecheurs" sheetId="12" state="visible" r:id="rId12"/>
    <sheet xmlns:r="http://schemas.openxmlformats.org/officeDocument/2006/relationships" name="Sites Atelier" sheetId="13" state="visible" r:id="rId13"/>
    <sheet xmlns:r="http://schemas.openxmlformats.org/officeDocument/2006/relationships" name="Observation disponibilité" sheetId="14" state="visible" r:id="rId14"/>
    <sheet xmlns:r="http://schemas.openxmlformats.org/officeDocument/2006/relationships" name="Sens migratoire" sheetId="15" state="visible" r:id="rId15"/>
    <sheet xmlns:r="http://schemas.openxmlformats.org/officeDocument/2006/relationships" name="Code marque ind" sheetId="16" state="visible" r:id="rId16"/>
    <sheet xmlns:r="http://schemas.openxmlformats.org/officeDocument/2006/relationships" name="Correspondants" sheetId="17" state="visible" r:id="rId17"/>
    <sheet xmlns:r="http://schemas.openxmlformats.org/officeDocument/2006/relationships" name="Feuil1" sheetId="18" state="visible" r:id="rId18"/>
  </sheets>
  <definedNames>
    <definedName name="public_tf_echantillon_ech">#REF!</definedName>
    <definedName name="_xlnm._FilterDatabase" localSheetId="0" hidden="1">'Feuil1 '!$R$1:$AN$73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000"/>
    <numFmt numFmtId="165" formatCode="0.0"/>
    <numFmt numFmtId="166" formatCode="[$-F400]h:mm:ss\ AM/PM"/>
    <numFmt numFmtId="167" formatCode="dd/mm/yy;@"/>
    <numFmt numFmtId="168" formatCode="[$-40C]General"/>
  </numFmts>
  <fonts count="2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theme="1"/>
      <sz val="10"/>
      <scheme val="minor"/>
    </font>
    <font>
      <name val="Aptos Narrow"/>
      <family val="2"/>
      <sz val="10"/>
      <scheme val="minor"/>
    </font>
    <font>
      <name val="Times New Roman"/>
      <family val="1"/>
      <sz val="11"/>
    </font>
    <font>
      <name val="Times New Roman"/>
      <family val="1"/>
      <color theme="1"/>
      <sz val="11"/>
    </font>
    <font>
      <name val="Segoe UI"/>
      <family val="2"/>
      <sz val="10"/>
    </font>
    <font>
      <name val="MS Sans Serif"/>
      <family val="2"/>
      <sz val="10"/>
    </font>
    <font>
      <name val="Aptos Narrow"/>
      <family val="2"/>
      <color theme="1"/>
      <sz val="12"/>
      <scheme val="minor"/>
    </font>
    <font>
      <name val="Arial"/>
      <family val="2"/>
      <color indexed="8"/>
      <sz val="10"/>
    </font>
    <font>
      <name val="Calibri"/>
      <family val="2"/>
      <color indexed="8"/>
      <sz val="11"/>
    </font>
    <font>
      <name val="Arial"/>
      <family val="2"/>
      <sz val="10"/>
    </font>
    <font>
      <name val="Arial"/>
      <family val="2"/>
      <sz val="12"/>
    </font>
    <font>
      <name val="Times New Roman"/>
      <family val="1"/>
      <color indexed="24"/>
      <sz val="12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color rgb="FF000000"/>
      <sz val="11"/>
    </font>
    <font>
      <name val="Calibri1"/>
      <color rgb="FF000000"/>
      <sz val="11"/>
    </font>
    <font>
      <name val="Aptos Narrow"/>
      <family val="2"/>
      <b val="1"/>
      <color rgb="FF9C0006"/>
      <sz val="11"/>
      <scheme val="minor"/>
    </font>
    <font>
      <name val="Aptos Narrow"/>
      <family val="2"/>
      <sz val="8"/>
      <scheme val="minor"/>
    </font>
    <font>
      <name val="Arial"/>
      <family val="2"/>
      <b val="1"/>
      <sz val="10"/>
    </font>
    <font>
      <name val="Arial"/>
      <family val="2"/>
      <sz val="11"/>
    </font>
    <font>
      <name val="Arial"/>
      <family val="2"/>
      <color theme="1"/>
      <sz val="10"/>
    </font>
  </fonts>
  <fills count="7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indexed="22"/>
        <bgColor indexed="0"/>
      </patternFill>
    </fill>
  </fills>
  <borders count="2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 style="thin">
        <color rgb="FFB2B2B2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1" fillId="0" borderId="0"/>
    <xf numFmtId="0" fontId="1" fillId="2" borderId="1"/>
    <xf numFmtId="0" fontId="10" fillId="0" borderId="0"/>
    <xf numFmtId="0" fontId="12" fillId="0" borderId="0"/>
    <xf numFmtId="0" fontId="12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6" fillId="0" borderId="0"/>
    <xf numFmtId="168" fontId="19" fillId="0" borderId="0"/>
    <xf numFmtId="168" fontId="20" fillId="0" borderId="0"/>
    <xf numFmtId="0" fontId="12" fillId="0" borderId="0"/>
  </cellStyleXfs>
  <cellXfs count="94">
    <xf numFmtId="0" fontId="0" fillId="0" borderId="0" pivotButton="0" quotePrefix="0" xfId="0"/>
    <xf numFmtId="0" fontId="5" fillId="0" borderId="2" applyAlignment="1" pivotButton="0" quotePrefix="0" xfId="0">
      <alignment horizontal="left"/>
    </xf>
    <xf numFmtId="0" fontId="6" fillId="0" borderId="3" applyAlignment="1" pivotButton="0" quotePrefix="0" xfId="0">
      <alignment horizontal="left"/>
    </xf>
    <xf numFmtId="0" fontId="6" fillId="0" borderId="2" applyAlignment="1" pivotButton="0" quotePrefix="0" xfId="0">
      <alignment horizontal="left"/>
    </xf>
    <xf numFmtId="0" fontId="5" fillId="3" borderId="2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7" fillId="0" borderId="4" applyAlignment="1" pivotButton="0" quotePrefix="0" xfId="0">
      <alignment horizontal="left"/>
    </xf>
    <xf numFmtId="0" fontId="8" fillId="0" borderId="3" applyAlignment="1" pivotButton="0" quotePrefix="0" xfId="0">
      <alignment horizontal="left"/>
    </xf>
    <xf numFmtId="0" fontId="5" fillId="0" borderId="0" applyAlignment="1" pivotButton="0" quotePrefix="0" xfId="0">
      <alignment horizontal="right"/>
    </xf>
    <xf numFmtId="0" fontId="5" fillId="0" borderId="3" applyAlignment="1" pivotButton="0" quotePrefix="0" xfId="0">
      <alignment horizontal="left"/>
    </xf>
    <xf numFmtId="0" fontId="5" fillId="0" borderId="3" applyAlignment="1" pivotButton="0" quotePrefix="0" xfId="0">
      <alignment horizontal="right"/>
    </xf>
    <xf numFmtId="14" fontId="5" fillId="0" borderId="5" applyAlignment="1" pivotButton="0" quotePrefix="0" xfId="1">
      <alignment horizontal="right"/>
    </xf>
    <xf numFmtId="0" fontId="5" fillId="0" borderId="6" applyAlignment="1" pivotButton="0" quotePrefix="0" xfId="1">
      <alignment horizontal="left"/>
    </xf>
    <xf numFmtId="0" fontId="5" fillId="0" borderId="6" applyAlignment="1" pivotButton="0" quotePrefix="0" xfId="1">
      <alignment horizontal="right"/>
    </xf>
    <xf numFmtId="0" fontId="6" fillId="0" borderId="6" applyAlignment="1" pivotButton="0" quotePrefix="0" xfId="1">
      <alignment horizontal="left"/>
    </xf>
    <xf numFmtId="164" fontId="6" fillId="0" borderId="7" applyAlignment="1" pivotButton="0" quotePrefix="0" xfId="1">
      <alignment horizontal="left"/>
    </xf>
    <xf numFmtId="0" fontId="0" fillId="0" borderId="0" applyAlignment="1" pivotButton="0" quotePrefix="0" xfId="0">
      <alignment horizontal="left"/>
    </xf>
    <xf numFmtId="0" fontId="9" fillId="0" borderId="3" applyAlignment="1" pivotButton="0" quotePrefix="0" xfId="0">
      <alignment vertical="center"/>
    </xf>
    <xf numFmtId="0" fontId="6" fillId="0" borderId="8" applyAlignment="1" pivotButton="0" quotePrefix="0" xfId="1">
      <alignment horizontal="left"/>
    </xf>
    <xf numFmtId="164" fontId="6" fillId="0" borderId="2" applyAlignment="1" pivotButton="0" quotePrefix="0" xfId="2">
      <alignment horizontal="left"/>
    </xf>
    <xf numFmtId="0" fontId="11" fillId="0" borderId="3" pivotButton="0" quotePrefix="0" xfId="0"/>
    <xf numFmtId="20" fontId="11" fillId="0" borderId="3" pivotButton="0" quotePrefix="0" xfId="0"/>
    <xf numFmtId="0" fontId="0" fillId="4" borderId="0" pivotButton="0" quotePrefix="0" xfId="0"/>
    <xf numFmtId="0" fontId="18" fillId="0" borderId="9" applyAlignment="1" pivotButton="0" quotePrefix="0" xfId="0">
      <alignment horizontal="center" vertical="center" wrapText="1"/>
    </xf>
    <xf numFmtId="0" fontId="17" fillId="0" borderId="9" applyAlignment="1" pivotButton="0" quotePrefix="0" xfId="0">
      <alignment horizontal="center" vertical="center" wrapText="1"/>
    </xf>
    <xf numFmtId="0" fontId="17" fillId="0" borderId="11" applyAlignment="1" pivotButton="0" quotePrefix="0" xfId="0">
      <alignment horizontal="center" vertical="center" wrapText="1"/>
    </xf>
    <xf numFmtId="0" fontId="17" fillId="0" borderId="10" applyAlignment="1" pivotButton="0" quotePrefix="0" xfId="0">
      <alignment horizontal="center" vertical="center" wrapText="1"/>
    </xf>
    <xf numFmtId="0" fontId="17" fillId="0" borderId="12" applyAlignment="1" pivotButton="0" quotePrefix="0" xfId="0">
      <alignment horizontal="left" vertical="center" wrapText="1"/>
    </xf>
    <xf numFmtId="0" fontId="18" fillId="0" borderId="10" applyAlignment="1" pivotButton="0" quotePrefix="0" xfId="0">
      <alignment horizontal="left" vertical="center" wrapText="1"/>
    </xf>
    <xf numFmtId="0" fontId="18" fillId="0" borderId="11" applyAlignment="1" pivotButton="0" quotePrefix="0" xfId="0">
      <alignment horizontal="center" vertical="center" wrapText="1"/>
    </xf>
    <xf numFmtId="0" fontId="18" fillId="0" borderId="10" applyAlignment="1" pivotButton="0" quotePrefix="0" xfId="0">
      <alignment horizontal="center" vertical="center" wrapText="1"/>
    </xf>
    <xf numFmtId="0" fontId="18" fillId="0" borderId="10" applyAlignment="1" pivotButton="0" quotePrefix="0" xfId="0">
      <alignment horizontal="right" vertical="center" wrapText="1"/>
    </xf>
    <xf numFmtId="14" fontId="3" fillId="0" borderId="10" applyAlignment="1" pivotButton="0" quotePrefix="0" xfId="1">
      <alignment horizontal="right" vertical="center" wrapText="1"/>
    </xf>
    <xf numFmtId="0" fontId="18" fillId="0" borderId="9" applyAlignment="1" pivotButton="0" quotePrefix="0" xfId="1">
      <alignment horizontal="center" vertical="center" wrapText="1"/>
    </xf>
    <xf numFmtId="0" fontId="18" fillId="0" borderId="9" applyAlignment="1" pivotButton="0" quotePrefix="0" xfId="1">
      <alignment horizontal="right" vertical="center" wrapText="1"/>
    </xf>
    <xf numFmtId="0" fontId="17" fillId="0" borderId="9" applyAlignment="1" pivotButton="0" quotePrefix="0" xfId="1">
      <alignment horizontal="center" vertical="center" wrapText="1"/>
    </xf>
    <xf numFmtId="164" fontId="17" fillId="0" borderId="13" applyAlignment="1" pivotButton="0" quotePrefix="0" xfId="1">
      <alignment horizontal="center" vertical="center" wrapText="1"/>
    </xf>
    <xf numFmtId="0" fontId="11" fillId="0" borderId="0" pivotButton="0" quotePrefix="0" xfId="0"/>
    <xf numFmtId="0" fontId="14" fillId="0" borderId="14" pivotButton="0" quotePrefix="0" xfId="3"/>
    <xf numFmtId="165" fontId="11" fillId="0" borderId="3" pivotButton="0" quotePrefix="0" xfId="0"/>
    <xf numFmtId="166" fontId="11" fillId="0" borderId="3" pivotButton="0" quotePrefix="0" xfId="0"/>
    <xf numFmtId="1" fontId="11" fillId="0" borderId="3" pivotButton="0" quotePrefix="0" xfId="0"/>
    <xf numFmtId="0" fontId="11" fillId="0" borderId="3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5" borderId="15" applyAlignment="1" pivotButton="0" quotePrefix="0" xfId="0">
      <alignment wrapText="1"/>
    </xf>
    <xf numFmtId="0" fontId="0" fillId="5" borderId="11" applyAlignment="1" pivotButton="0" quotePrefix="0" xfId="0">
      <alignment wrapText="1"/>
    </xf>
    <xf numFmtId="0" fontId="0" fillId="5" borderId="15" pivotButton="0" quotePrefix="0" xfId="0"/>
    <xf numFmtId="0" fontId="0" fillId="5" borderId="11" pivotButton="0" quotePrefix="0" xfId="0"/>
    <xf numFmtId="0" fontId="13" fillId="0" borderId="16" applyAlignment="1" pivotButton="0" quotePrefix="0" xfId="4">
      <alignment horizontal="right" wrapText="1"/>
    </xf>
    <xf numFmtId="0" fontId="13" fillId="0" borderId="16" applyAlignment="1" pivotButton="0" quotePrefix="0" xfId="4">
      <alignment wrapText="1"/>
    </xf>
    <xf numFmtId="0" fontId="13" fillId="0" borderId="17" applyAlignment="1" pivotButton="0" quotePrefix="0" xfId="4">
      <alignment horizontal="right" wrapText="1"/>
    </xf>
    <xf numFmtId="0" fontId="13" fillId="0" borderId="17" applyAlignment="1" pivotButton="0" quotePrefix="0" xfId="4">
      <alignment wrapText="1"/>
    </xf>
    <xf numFmtId="0" fontId="13" fillId="6" borderId="18" applyAlignment="1" pivotButton="0" quotePrefix="0" xfId="4">
      <alignment horizontal="center"/>
    </xf>
    <xf numFmtId="0" fontId="13" fillId="6" borderId="15" applyAlignment="1" pivotButton="0" quotePrefix="0" xfId="4">
      <alignment horizontal="center"/>
    </xf>
    <xf numFmtId="0" fontId="13" fillId="6" borderId="13" applyAlignment="1" pivotButton="0" quotePrefix="0" xfId="4">
      <alignment horizontal="center"/>
    </xf>
    <xf numFmtId="0" fontId="0" fillId="5" borderId="13" applyAlignment="1" pivotButton="0" quotePrefix="0" xfId="0">
      <alignment wrapText="1"/>
    </xf>
    <xf numFmtId="0" fontId="0" fillId="5" borderId="13" pivotButton="0" quotePrefix="0" xfId="0"/>
    <xf numFmtId="0" fontId="4" fillId="0" borderId="0" pivotButton="0" quotePrefix="0" xfId="0"/>
    <xf numFmtId="0" fontId="6" fillId="0" borderId="19" applyAlignment="1" pivotButton="0" quotePrefix="0" xfId="0">
      <alignment horizontal="left"/>
    </xf>
    <xf numFmtId="0" fontId="0" fillId="0" borderId="20" pivotButton="0" quotePrefix="1" xfId="0"/>
    <xf numFmtId="0" fontId="6" fillId="0" borderId="21" applyAlignment="1" pivotButton="0" quotePrefix="0" xfId="0">
      <alignment horizontal="left"/>
    </xf>
    <xf numFmtId="0" fontId="0" fillId="0" borderId="22" pivotButton="0" quotePrefix="1" xfId="0"/>
    <xf numFmtId="0" fontId="6" fillId="0" borderId="23" applyAlignment="1" pivotButton="0" quotePrefix="0" xfId="0">
      <alignment horizontal="left"/>
    </xf>
    <xf numFmtId="0" fontId="0" fillId="0" borderId="24" pivotButton="0" quotePrefix="0" xfId="0"/>
    <xf numFmtId="0" fontId="0" fillId="5" borderId="25" applyAlignment="1" pivotButton="0" quotePrefix="0" xfId="0">
      <alignment wrapText="1"/>
    </xf>
    <xf numFmtId="0" fontId="0" fillId="5" borderId="26" applyAlignment="1" pivotButton="0" quotePrefix="0" xfId="0">
      <alignment wrapText="1"/>
    </xf>
    <xf numFmtId="0" fontId="13" fillId="0" borderId="16" applyAlignment="1" pivotButton="0" quotePrefix="0" xfId="17">
      <alignment horizontal="right" wrapText="1"/>
    </xf>
    <xf numFmtId="0" fontId="13" fillId="0" borderId="16" applyAlignment="1" pivotButton="0" quotePrefix="0" xfId="17">
      <alignment wrapText="1"/>
    </xf>
    <xf numFmtId="0" fontId="13" fillId="6" borderId="27" applyAlignment="1" pivotButton="0" quotePrefix="0" xfId="17">
      <alignment horizontal="center"/>
    </xf>
    <xf numFmtId="0" fontId="2" fillId="2" borderId="1" pivotButton="0" quotePrefix="0" xfId="1"/>
    <xf numFmtId="0" fontId="3" fillId="0" borderId="0" applyAlignment="1" pivotButton="0" quotePrefix="0" xfId="0">
      <alignment wrapText="1"/>
    </xf>
    <xf numFmtId="0" fontId="21" fillId="2" borderId="1" applyAlignment="1" pivotButton="0" quotePrefix="0" xfId="1">
      <alignment wrapText="1"/>
    </xf>
    <xf numFmtId="0" fontId="5" fillId="0" borderId="3" applyAlignment="1" pivotButton="0" quotePrefix="0" xfId="0">
      <alignment horizontal="center"/>
    </xf>
    <xf numFmtId="0" fontId="5" fillId="0" borderId="2" applyAlignment="1" pivotButton="0" quotePrefix="0" xfId="0">
      <alignment horizontal="left"/>
    </xf>
    <xf numFmtId="0" fontId="5" fillId="0" borderId="3" applyAlignment="1" pivotButton="0" quotePrefix="0" xfId="0">
      <alignment horizontal="left"/>
    </xf>
    <xf numFmtId="0" fontId="6" fillId="0" borderId="2" applyAlignment="1" pivotButton="0" quotePrefix="0" xfId="0">
      <alignment horizontal="right"/>
    </xf>
    <xf numFmtId="0" fontId="5" fillId="0" borderId="2" applyAlignment="1" pivotButton="0" quotePrefix="0" xfId="0">
      <alignment horizontal="right"/>
    </xf>
    <xf numFmtId="0" fontId="5" fillId="0" borderId="2" applyAlignment="1" pivotButton="0" quotePrefix="0" xfId="0">
      <alignment horizontal="right"/>
    </xf>
    <xf numFmtId="167" fontId="14" fillId="0" borderId="28" applyAlignment="1" pivotButton="0" quotePrefix="0" xfId="0">
      <alignment horizontal="right"/>
    </xf>
    <xf numFmtId="0" fontId="14" fillId="0" borderId="3" applyAlignment="1" pivotButton="0" quotePrefix="0" xfId="0">
      <alignment horizontal="right"/>
    </xf>
    <xf numFmtId="167" fontId="14" fillId="0" borderId="28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0" fontId="0" fillId="0" borderId="0" pivotButton="0" quotePrefix="0" xfId="0"/>
    <xf numFmtId="0" fontId="23" fillId="4" borderId="28" applyAlignment="1" pivotButton="0" quotePrefix="0" xfId="0">
      <alignment horizontal="center"/>
    </xf>
    <xf numFmtId="167" fontId="23" fillId="4" borderId="28" applyAlignment="1" pivotButton="0" quotePrefix="0" xfId="0">
      <alignment horizontal="center"/>
    </xf>
    <xf numFmtId="0" fontId="14" fillId="0" borderId="28" applyAlignment="1" pivotButton="0" quotePrefix="0" xfId="0">
      <alignment horizontal="right"/>
    </xf>
    <xf numFmtId="0" fontId="8" fillId="0" borderId="3" applyAlignment="1" pivotButton="0" quotePrefix="0" xfId="0">
      <alignment horizontal="right"/>
    </xf>
    <xf numFmtId="0" fontId="24" fillId="0" borderId="0" applyAlignment="1" pivotButton="0" quotePrefix="0" xfId="0">
      <alignment horizontal="right"/>
    </xf>
    <xf numFmtId="167" fontId="25" fillId="0" borderId="28" applyAlignment="1" pivotButton="0" quotePrefix="0" xfId="0">
      <alignment horizontal="right"/>
    </xf>
    <xf numFmtId="0" fontId="25" fillId="0" borderId="28" applyAlignment="1" pivotButton="0" quotePrefix="0" xfId="0">
      <alignment horizontal="right"/>
    </xf>
    <xf numFmtId="0" fontId="25" fillId="0" borderId="28" pivotButton="0" quotePrefix="0" xfId="0"/>
    <xf numFmtId="0" fontId="0" fillId="0" borderId="0" pivotButton="0" quotePrefix="0" xfId="0"/>
    <xf numFmtId="167" fontId="14" fillId="0" borderId="28" applyAlignment="1" pivotButton="0" quotePrefix="0" xfId="0">
      <alignment horizontal="right"/>
    </xf>
    <xf numFmtId="166" fontId="11" fillId="0" borderId="3" pivotButton="0" quotePrefix="0" xfId="0"/>
  </cellXfs>
  <cellStyles count="18">
    <cellStyle name="Normal" xfId="0" builtinId="0"/>
    <cellStyle name="Note" xfId="1" builtinId="10"/>
    <cellStyle name="Normal 3" xfId="2"/>
    <cellStyle name="Normal_Feuil1" xfId="3"/>
    <cellStyle name="Normal_Particularité" xfId="4"/>
    <cellStyle name="Normal 10" xfId="5"/>
    <cellStyle name="normal 2 2" xfId="6"/>
    <cellStyle name="Normal 2" xfId="7"/>
    <cellStyle name="Normal 11" xfId="8"/>
    <cellStyle name="Normal 12" xfId="9"/>
    <cellStyle name="Normal 9" xfId="10"/>
    <cellStyle name="Normal 8" xfId="11"/>
    <cellStyle name="Normal 6" xfId="12"/>
    <cellStyle name="Normal 5" xfId="13"/>
    <cellStyle name="Normal 4" xfId="14"/>
    <cellStyle name="Excel Built-in Normal" xfId="15"/>
    <cellStyle name="Excel Built-in Normal 1" xfId="16"/>
    <cellStyle name="Normal_Sens migratoire" xfId="1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tabSelected="1" topLeftCell="G1" zoomScale="80" zoomScaleNormal="80" workbookViewId="0">
      <pane ySplit="1" topLeftCell="A44" activePane="bottomLeft" state="frozen"/>
      <selection activeCell="A31" sqref="A31"/>
      <selection pane="bottomLeft" activeCell="H44" sqref="H44:H74"/>
    </sheetView>
  </sheetViews>
  <sheetFormatPr baseColWidth="10" defaultRowHeight="15"/>
  <cols>
    <col width="11.375" customWidth="1" style="15" min="1" max="1"/>
    <col width="11.375" customWidth="1" style="14" min="2" max="3"/>
    <col width="15.125" bestFit="1" customWidth="1" style="14" min="4" max="4"/>
    <col width="11.375" customWidth="1" style="14" min="5" max="5"/>
    <col width="11.375" customWidth="1" style="13" min="6" max="6"/>
    <col width="11.375" customWidth="1" style="12" min="7" max="7"/>
    <col width="11.375" customWidth="1" style="73" min="8" max="8"/>
    <col width="11.375" customWidth="1" style="74" min="9" max="10"/>
    <col width="11.375" customWidth="1" style="11" min="11" max="11"/>
    <col width="11.375" customWidth="1" style="10" min="12" max="12"/>
    <col width="11.375" customWidth="1" style="74" min="13" max="17"/>
    <col width="11.375" customWidth="1" style="74" min="18" max="18"/>
    <col width="11.375" customWidth="1" style="81" min="19" max="19"/>
    <col width="11.375" customWidth="1" style="7" min="20" max="20"/>
    <col width="11.375" customWidth="1" style="6" min="21" max="21"/>
    <col width="11.375" customWidth="1" style="2" min="22" max="22"/>
    <col width="11.375" customWidth="1" style="5" min="23" max="23"/>
    <col width="11.375" customWidth="1" style="3" min="24" max="24"/>
    <col width="11.375" customWidth="1" style="4" min="25" max="26"/>
    <col width="11.375" customWidth="1" style="73" min="27" max="27"/>
    <col width="11.375" customWidth="1" style="3" min="28" max="28"/>
    <col width="11.375" customWidth="1" style="2" min="29" max="29"/>
    <col width="11.375" customWidth="1" style="73" min="30" max="36"/>
    <col width="15.625" bestFit="1" customWidth="1" style="91" min="37" max="37"/>
  </cols>
  <sheetData>
    <row r="1" ht="73.5" customHeight="1" s="91" thickBot="1">
      <c r="A1" s="36" t="inlineStr">
        <is>
          <t>Code unité gestionnaire</t>
        </is>
      </c>
      <c r="B1" s="35" t="inlineStr">
        <is>
          <t>Site Atelier</t>
        </is>
      </c>
      <c r="C1" s="35" t="inlineStr">
        <is>
          <t>Numero du correspondant</t>
        </is>
      </c>
      <c r="D1" s="35" t="inlineStr">
        <is>
          <t>Code type echantillon</t>
        </is>
      </c>
      <c r="E1" s="35" t="inlineStr">
        <is>
          <t>Code échantillon</t>
        </is>
      </c>
      <c r="F1" s="34" t="inlineStr">
        <is>
          <t>Code espèce</t>
        </is>
      </c>
      <c r="G1" s="33" t="inlineStr">
        <is>
          <t xml:space="preserve">Sous-espèce </t>
        </is>
      </c>
      <c r="H1" s="23" t="inlineStr">
        <is>
          <t>Organisme préleveur</t>
        </is>
      </c>
      <c r="I1" s="30" t="inlineStr">
        <is>
          <t>Nom de l'opérateur</t>
        </is>
      </c>
      <c r="J1" s="30" t="inlineStr">
        <is>
          <t xml:space="preserve">Pays capture </t>
        </is>
      </c>
      <c r="K1" s="32" t="inlineStr">
        <is>
          <t>Date capture</t>
        </is>
      </c>
      <c r="L1" s="31" t="inlineStr">
        <is>
          <t>Lac/riviere</t>
        </is>
      </c>
      <c r="M1" s="30" t="inlineStr">
        <is>
          <t>Lieu de capture / debarquement</t>
        </is>
      </c>
      <c r="N1" s="30" t="inlineStr">
        <is>
          <t xml:space="preserve">Catégorie pêcheur </t>
        </is>
      </c>
      <c r="O1" s="30" t="inlineStr">
        <is>
          <t xml:space="preserve">Type pêche/engin </t>
        </is>
      </c>
      <c r="P1" s="30" t="inlineStr">
        <is>
          <t>Maille (mm)</t>
        </is>
      </c>
      <c r="Q1" s="30" t="n"/>
      <c r="R1" s="30" t="n"/>
      <c r="S1" s="29" t="inlineStr">
        <is>
          <t>Numero individu (numero de capture)</t>
        </is>
      </c>
      <c r="T1" s="28" t="inlineStr">
        <is>
          <t>Longueur totale (mm)</t>
        </is>
      </c>
      <c r="U1" s="27" t="inlineStr">
        <is>
          <t>Poids (g)</t>
        </is>
      </c>
      <c r="V1" s="26" t="inlineStr">
        <is>
          <t>Code stade</t>
        </is>
      </c>
      <c r="W1" s="25" t="inlineStr">
        <is>
          <t>Code maturité sexuelle</t>
        </is>
      </c>
      <c r="X1" s="24" t="inlineStr">
        <is>
          <t>Code sexe</t>
        </is>
      </c>
      <c r="Y1" s="23" t="inlineStr">
        <is>
          <t>Présence de l'otolithe gauche (0 si non, 1 si oui)</t>
        </is>
      </c>
      <c r="Z1" s="23" t="inlineStr">
        <is>
          <t>Présence de l'otolithe droite (0 si non, 1 si oui)</t>
        </is>
      </c>
      <c r="AA1" s="23" t="inlineStr">
        <is>
          <t>Nombre d' opercules en état</t>
        </is>
      </c>
      <c r="AB1" s="24" t="inlineStr">
        <is>
          <t xml:space="preserve">Information stockage </t>
        </is>
      </c>
      <c r="AC1" s="26" t="inlineStr">
        <is>
          <t>Observation disponibilité</t>
        </is>
      </c>
      <c r="AD1" s="23" t="inlineStr">
        <is>
          <t>Autre échantillon osseuses collectée sur l'individu OUI/NON</t>
        </is>
      </c>
      <c r="AE1" s="23" t="inlineStr">
        <is>
          <t>Age total</t>
        </is>
      </c>
      <c r="AF1" s="23" t="inlineStr">
        <is>
          <t xml:space="preserve">Age rivière </t>
        </is>
      </c>
      <c r="AG1" s="23" t="inlineStr">
        <is>
          <t>Age lac</t>
        </is>
      </c>
      <c r="AH1" s="23" t="inlineStr">
        <is>
          <t>Nombre de fraie</t>
        </is>
      </c>
      <c r="AI1" s="23" t="inlineStr">
        <is>
          <t>Ecailles regenérées ? (0 si non, 1 si oui)</t>
        </is>
      </c>
      <c r="AJ1" s="23" t="inlineStr">
        <is>
          <t>Observations</t>
        </is>
      </c>
      <c r="AK1" t="inlineStr">
        <is>
          <t>Ecailles brutes</t>
        </is>
      </c>
      <c r="AL1" t="inlineStr">
        <is>
          <t>Montées</t>
        </is>
      </c>
      <c r="AM1" t="inlineStr">
        <is>
          <t>Empreintes</t>
        </is>
      </c>
      <c r="AN1" t="inlineStr">
        <is>
          <t>Otolithes</t>
        </is>
      </c>
    </row>
    <row r="2">
      <c r="A2" s="19" t="n"/>
      <c r="B2" s="3" t="n"/>
      <c r="C2" s="14" t="n"/>
      <c r="D2" s="14" t="n"/>
      <c r="E2" s="18" t="n"/>
      <c r="F2" s="13" t="n"/>
      <c r="H2" s="73" t="n"/>
      <c r="J2" s="74" t="n"/>
      <c r="K2" s="92" t="n"/>
      <c r="L2" s="72" t="n"/>
      <c r="N2" s="74" t="n"/>
      <c r="O2" s="74" t="n"/>
      <c r="R2" s="17">
        <f>UPPER(CONCATENATE(LEFT(L2,2),LEFT(F2,1),TEXT(K2,"JJMMAAAA"),IF(S2&lt;&gt;"",CONCATENATE("-",S2),""),"-",E2))</f>
        <v/>
      </c>
      <c r="S2" s="81" t="n"/>
      <c r="T2" s="87" t="n"/>
      <c r="AD2" s="73" t="n"/>
      <c r="AE2" s="73" t="n"/>
      <c r="AK2" s="77" t="n"/>
    </row>
  </sheetData>
  <autoFilter ref="R1:AN73"/>
  <dataValidations disablePrompts="1" count="1">
    <dataValidation sqref="K1:Q2" showDropDown="0" showInputMessage="1" showErrorMessage="1" allowBlank="1" type="date" operator="greaterThanOrEqual">
      <formula1>1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V10"/>
  <sheetViews>
    <sheetView workbookViewId="0">
      <selection activeCell="A31" sqref="A31"/>
    </sheetView>
  </sheetViews>
  <sheetFormatPr baseColWidth="10" defaultRowHeight="14.25"/>
  <sheetData>
    <row r="4" ht="15" customHeight="1" s="91">
      <c r="A4" s="21" t="n"/>
      <c r="B4" s="21" t="n"/>
      <c r="C4" s="20" t="n"/>
      <c r="D4" s="20" t="n"/>
      <c r="E4" s="20" t="n"/>
      <c r="F4" s="20" t="n"/>
      <c r="G4" s="20" t="n"/>
      <c r="H4" s="20" t="n"/>
      <c r="I4" s="42" t="n"/>
      <c r="J4" s="20" t="n"/>
      <c r="K4" s="20" t="n"/>
      <c r="L4" s="20" t="n"/>
      <c r="M4" s="20" t="n"/>
      <c r="N4" s="41" t="n"/>
      <c r="O4" s="93" t="n"/>
      <c r="P4" s="39" t="n"/>
      <c r="Q4" s="20" t="n"/>
      <c r="R4" s="20" t="n"/>
      <c r="S4" s="38" t="n"/>
      <c r="T4" s="37" t="n"/>
      <c r="U4" s="20" t="n"/>
      <c r="V4" s="20" t="n"/>
    </row>
    <row r="5" ht="15" customHeight="1" s="91">
      <c r="A5" s="21" t="n"/>
      <c r="B5" s="21" t="n"/>
      <c r="C5" s="20" t="n"/>
      <c r="D5" s="20" t="n"/>
      <c r="E5" s="20" t="n"/>
      <c r="F5" s="20" t="n"/>
      <c r="G5" s="20" t="n"/>
      <c r="H5" s="20" t="n"/>
      <c r="I5" s="42" t="n"/>
      <c r="J5" s="20" t="n"/>
      <c r="K5" s="20" t="n"/>
      <c r="L5" s="20" t="n"/>
      <c r="M5" s="20" t="n"/>
      <c r="N5" s="41" t="n"/>
      <c r="O5" s="93" t="n"/>
      <c r="P5" s="39" t="n"/>
      <c r="Q5" s="20" t="n"/>
      <c r="R5" s="20" t="n"/>
      <c r="S5" s="38" t="n"/>
      <c r="T5" s="37" t="n"/>
      <c r="U5" s="20" t="n"/>
      <c r="V5" s="20" t="n"/>
    </row>
    <row r="6" ht="15" customHeight="1" s="91">
      <c r="A6" s="21" t="n"/>
      <c r="B6" s="21" t="n"/>
      <c r="C6" s="20" t="n"/>
      <c r="D6" s="20" t="n"/>
      <c r="E6" s="20" t="n"/>
      <c r="F6" s="20" t="n"/>
      <c r="G6" s="20" t="n"/>
      <c r="H6" s="20" t="n"/>
      <c r="I6" s="42" t="n"/>
      <c r="J6" s="20" t="n"/>
      <c r="K6" s="20" t="n"/>
      <c r="L6" s="20" t="n"/>
      <c r="M6" s="20" t="n"/>
      <c r="N6" s="41" t="n"/>
      <c r="O6" s="93" t="n"/>
      <c r="P6" s="39" t="n"/>
      <c r="Q6" s="20" t="n"/>
      <c r="R6" s="20" t="n"/>
      <c r="S6" s="38" t="n"/>
      <c r="T6" s="37" t="n"/>
      <c r="U6" s="20" t="n"/>
      <c r="V6" s="20" t="n"/>
    </row>
    <row r="7" ht="15" customHeight="1" s="91">
      <c r="A7" s="21" t="n"/>
      <c r="B7" s="21" t="n"/>
      <c r="C7" s="20" t="n"/>
      <c r="D7" s="20" t="n"/>
      <c r="E7" s="20" t="n"/>
      <c r="F7" s="20" t="n"/>
      <c r="G7" s="20" t="n"/>
      <c r="H7" s="20" t="n"/>
      <c r="I7" s="42" t="n"/>
      <c r="J7" s="20" t="n"/>
      <c r="K7" s="20" t="n"/>
      <c r="L7" s="20" t="n"/>
      <c r="M7" s="20" t="n"/>
      <c r="N7" s="41" t="n"/>
      <c r="O7" s="93" t="n"/>
      <c r="P7" s="39" t="n"/>
      <c r="Q7" s="20" t="n"/>
      <c r="R7" s="20" t="n"/>
      <c r="S7" s="38" t="n"/>
      <c r="T7" s="37" t="n"/>
      <c r="U7" s="20" t="n"/>
      <c r="V7" s="20" t="n"/>
    </row>
    <row r="8" ht="15" customHeight="1" s="91">
      <c r="A8" s="21" t="n"/>
      <c r="B8" s="21" t="n"/>
      <c r="C8" s="20" t="n"/>
      <c r="D8" s="20" t="n"/>
      <c r="E8" s="20" t="n"/>
      <c r="F8" s="20" t="n"/>
      <c r="G8" s="20" t="n"/>
      <c r="H8" s="20" t="n"/>
      <c r="I8" s="42" t="n"/>
      <c r="J8" s="20" t="n"/>
      <c r="K8" s="20" t="n"/>
      <c r="L8" s="20" t="n"/>
      <c r="M8" s="20" t="n"/>
      <c r="N8" s="41" t="n"/>
      <c r="O8" s="93" t="n"/>
      <c r="P8" s="39" t="n"/>
      <c r="Q8" s="20" t="n"/>
      <c r="R8" s="20" t="n"/>
      <c r="S8" s="38" t="n"/>
      <c r="T8" s="37" t="n"/>
      <c r="U8" s="20" t="n"/>
      <c r="V8" s="20" t="n"/>
    </row>
    <row r="9" ht="15" customHeight="1" s="91">
      <c r="A9" s="21" t="n"/>
      <c r="B9" s="21" t="n"/>
      <c r="C9" s="20" t="n"/>
      <c r="D9" s="20" t="n"/>
      <c r="E9" s="20" t="n"/>
      <c r="F9" s="20" t="n"/>
      <c r="G9" s="20" t="n"/>
      <c r="H9" s="20" t="n"/>
      <c r="I9" s="42" t="n"/>
      <c r="J9" s="20" t="n"/>
      <c r="K9" s="20" t="n"/>
      <c r="L9" s="20" t="n"/>
      <c r="M9" s="20" t="n"/>
      <c r="N9" s="41" t="n"/>
      <c r="O9" s="93" t="n"/>
      <c r="P9" s="39" t="n"/>
      <c r="Q9" s="20" t="n"/>
      <c r="R9" s="20" t="n"/>
      <c r="S9" s="38" t="n"/>
      <c r="T9" s="37" t="n"/>
      <c r="U9" s="20" t="n"/>
      <c r="V9" s="20" t="n"/>
    </row>
    <row r="10" ht="15" customHeight="1" s="91">
      <c r="A10" s="21" t="n"/>
      <c r="B10" s="21" t="n"/>
      <c r="C10" s="20" t="n"/>
      <c r="D10" s="20" t="n"/>
      <c r="E10" s="20" t="n"/>
      <c r="F10" s="20" t="n"/>
      <c r="G10" s="20" t="n"/>
      <c r="H10" s="20" t="n"/>
      <c r="I10" s="42" t="n"/>
      <c r="J10" s="20" t="n"/>
      <c r="K10" s="20" t="n"/>
      <c r="L10" s="20" t="n"/>
      <c r="M10" s="20" t="n"/>
      <c r="N10" s="41" t="n"/>
      <c r="O10" s="93" t="n"/>
      <c r="P10" s="39" t="n"/>
      <c r="Q10" s="20" t="n"/>
      <c r="R10" s="20" t="n"/>
      <c r="S10" s="38" t="n"/>
      <c r="T10" s="37" t="n"/>
      <c r="U10" s="20" t="n"/>
      <c r="V10" s="20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1:C36"/>
  <sheetViews>
    <sheetView workbookViewId="0">
      <selection activeCell="B6" sqref="B6"/>
    </sheetView>
  </sheetViews>
  <sheetFormatPr baseColWidth="10" defaultRowHeight="14.25"/>
  <cols>
    <col width="47" customWidth="1" style="91" min="2" max="2"/>
  </cols>
  <sheetData>
    <row r="1" ht="29.25" customFormat="1" customHeight="1" s="43" thickBot="1">
      <c r="A1" s="44" t="inlineStr">
        <is>
          <t>Code type echantillon</t>
        </is>
      </c>
      <c r="B1" s="45" t="inlineStr">
        <is>
          <t>Description</t>
        </is>
      </c>
      <c r="C1" s="44" t="inlineStr">
        <is>
          <t>code sandre</t>
        </is>
      </c>
    </row>
    <row r="2">
      <c r="A2" t="inlineStr">
        <is>
          <t>AN</t>
        </is>
      </c>
      <c r="B2" t="inlineStr">
        <is>
          <t>Abdomen de poisson</t>
        </is>
      </c>
      <c r="C2" t="n">
        <v>291</v>
      </c>
    </row>
    <row r="3">
      <c r="A3" t="inlineStr">
        <is>
          <t>BI</t>
        </is>
      </c>
      <c r="B3" t="inlineStr">
        <is>
          <t>Bile</t>
        </is>
      </c>
      <c r="C3" t="n">
        <v>233</v>
      </c>
    </row>
    <row r="4">
      <c r="A4" t="inlineStr">
        <is>
          <t>GN</t>
        </is>
      </c>
      <c r="B4" t="inlineStr">
        <is>
          <t>Bouche de poisson</t>
        </is>
      </c>
      <c r="C4" t="n">
        <v>293</v>
      </c>
    </row>
    <row r="5">
      <c r="A5" t="inlineStr">
        <is>
          <t>BN</t>
        </is>
      </c>
      <c r="B5" t="inlineStr">
        <is>
          <t>Branchie de poisson</t>
        </is>
      </c>
      <c r="C5" t="n">
        <v>10</v>
      </c>
    </row>
    <row r="6">
      <c r="A6" t="inlineStr">
        <is>
          <t>VN</t>
        </is>
      </c>
      <c r="B6" t="inlineStr">
        <is>
          <t>Colonne vertébrale de poisson</t>
        </is>
      </c>
      <c r="C6" t="n">
        <v>306</v>
      </c>
    </row>
    <row r="7">
      <c r="A7" t="inlineStr">
        <is>
          <t>HN</t>
        </is>
      </c>
      <c r="B7" t="inlineStr">
        <is>
          <t>Dos de Poisson</t>
        </is>
      </c>
      <c r="C7" t="n">
        <v>294</v>
      </c>
    </row>
    <row r="8" customFormat="1" s="22">
      <c r="A8" s="22" t="inlineStr">
        <is>
          <t>EC</t>
        </is>
      </c>
      <c r="B8" s="22" t="inlineStr">
        <is>
          <t>Ecaille de poisson</t>
        </is>
      </c>
      <c r="C8" s="22" t="n">
        <v>103</v>
      </c>
    </row>
    <row r="9">
      <c r="A9" t="inlineStr">
        <is>
          <t>ES</t>
        </is>
      </c>
      <c r="B9" t="inlineStr">
        <is>
          <t>Estomac</t>
        </is>
      </c>
    </row>
    <row r="10">
      <c r="A10" t="inlineStr">
        <is>
          <t>FO</t>
        </is>
      </c>
      <c r="B10" t="inlineStr">
        <is>
          <t>Foie de poisson</t>
        </is>
      </c>
      <c r="C10" t="n">
        <v>104</v>
      </c>
    </row>
    <row r="11">
      <c r="A11" t="inlineStr">
        <is>
          <t>FN</t>
        </is>
      </c>
      <c r="B11" t="inlineStr">
        <is>
          <t>Fraction inconnue de poisson</t>
        </is>
      </c>
      <c r="C11" t="n">
        <v>100</v>
      </c>
    </row>
    <row r="12">
      <c r="A12" t="inlineStr">
        <is>
          <t>GO</t>
        </is>
      </c>
      <c r="B12" t="inlineStr">
        <is>
          <t>Gonade de poisson</t>
        </is>
      </c>
      <c r="C12" t="n">
        <v>245</v>
      </c>
    </row>
    <row r="13">
      <c r="A13" t="inlineStr">
        <is>
          <t>GR</t>
        </is>
      </c>
      <c r="B13" t="inlineStr">
        <is>
          <t>Graisse de poisson</t>
        </is>
      </c>
      <c r="C13" t="n">
        <v>107</v>
      </c>
    </row>
    <row r="14">
      <c r="A14" t="inlineStr">
        <is>
          <t>HM</t>
        </is>
      </c>
      <c r="B14" t="inlineStr">
        <is>
          <t>Hémocytes de poissons</t>
        </is>
      </c>
      <c r="C14" t="n">
        <v>241</v>
      </c>
    </row>
    <row r="15">
      <c r="A15" t="inlineStr">
        <is>
          <t>LE</t>
        </is>
      </c>
      <c r="B15" t="inlineStr">
        <is>
          <t>Lèvre de poisson</t>
        </is>
      </c>
      <c r="C15" t="n">
        <v>295</v>
      </c>
    </row>
    <row r="16">
      <c r="A16" t="inlineStr">
        <is>
          <t>MN</t>
        </is>
      </c>
      <c r="B16" t="inlineStr">
        <is>
          <t>Mâchoire de poisson</t>
        </is>
      </c>
      <c r="C16" t="n">
        <v>296</v>
      </c>
    </row>
    <row r="17">
      <c r="A17" t="inlineStr">
        <is>
          <t>MU</t>
        </is>
      </c>
      <c r="B17" t="inlineStr">
        <is>
          <t>Muscle de poisson</t>
        </is>
      </c>
      <c r="C17" t="n">
        <v>102</v>
      </c>
    </row>
    <row r="18">
      <c r="A18" t="inlineStr">
        <is>
          <t>MP</t>
        </is>
      </c>
      <c r="B18" t="inlineStr">
        <is>
          <t>Muscle et peau de poisson</t>
        </is>
      </c>
      <c r="C18" t="n">
        <v>272</v>
      </c>
    </row>
    <row r="19">
      <c r="A19" t="inlineStr">
        <is>
          <t>MI</t>
        </is>
      </c>
      <c r="B19" t="inlineStr">
        <is>
          <t>Muscle, muscle+tissu adipeux face interne de peau</t>
        </is>
      </c>
      <c r="C19" t="n">
        <v>164</v>
      </c>
    </row>
    <row r="20">
      <c r="A20" t="inlineStr">
        <is>
          <t>QN</t>
        </is>
      </c>
      <c r="B20" t="inlineStr">
        <is>
          <t>Nageoire caudale de poisson</t>
        </is>
      </c>
      <c r="C20" t="n">
        <v>299</v>
      </c>
    </row>
    <row r="21">
      <c r="A21" t="inlineStr">
        <is>
          <t>NN</t>
        </is>
      </c>
      <c r="B21" t="inlineStr">
        <is>
          <t>Nageoire de poisson</t>
        </is>
      </c>
      <c r="C21" t="n">
        <v>297</v>
      </c>
    </row>
    <row r="22">
      <c r="A22" t="inlineStr">
        <is>
          <t>DN</t>
        </is>
      </c>
      <c r="B22" t="inlineStr">
        <is>
          <t>Nageoire dorsale de poisson</t>
        </is>
      </c>
      <c r="C22" t="n">
        <v>292</v>
      </c>
    </row>
    <row r="23">
      <c r="A23" t="inlineStr">
        <is>
          <t>PN</t>
        </is>
      </c>
      <c r="B23" t="inlineStr">
        <is>
          <t>Nageoire pectorale de poisson</t>
        </is>
      </c>
      <c r="C23" t="n">
        <v>305</v>
      </c>
    </row>
    <row r="24">
      <c r="A24" t="inlineStr">
        <is>
          <t>YN</t>
        </is>
      </c>
      <c r="B24" t="inlineStr">
        <is>
          <t>Oeil de poisson</t>
        </is>
      </c>
      <c r="C24" t="n">
        <v>302</v>
      </c>
    </row>
    <row r="25" customFormat="1" s="22">
      <c r="A25" s="22" t="inlineStr">
        <is>
          <t>ON</t>
        </is>
      </c>
      <c r="B25" s="22" t="inlineStr">
        <is>
          <t>Opercules</t>
        </is>
      </c>
      <c r="C25" s="22" t="n">
        <v>298</v>
      </c>
    </row>
    <row r="26">
      <c r="A26" t="inlineStr">
        <is>
          <t>XN</t>
        </is>
      </c>
      <c r="B26" t="inlineStr">
        <is>
          <t>Orifice anal de poisson</t>
        </is>
      </c>
      <c r="C26" t="n">
        <v>308</v>
      </c>
    </row>
    <row r="27">
      <c r="A27" t="inlineStr">
        <is>
          <t>XU</t>
        </is>
      </c>
      <c r="B27" t="inlineStr">
        <is>
          <t>Orifice urogénital de poisson</t>
        </is>
      </c>
      <c r="C27" t="n">
        <v>301</v>
      </c>
    </row>
    <row r="28" customFormat="1" s="22">
      <c r="A28" s="22" t="inlineStr">
        <is>
          <t>OT</t>
        </is>
      </c>
      <c r="B28" s="22" t="inlineStr">
        <is>
          <t>Otolithes</t>
        </is>
      </c>
    </row>
    <row r="29">
      <c r="A29" t="inlineStr">
        <is>
          <t>KN</t>
        </is>
      </c>
      <c r="B29" t="inlineStr">
        <is>
          <t>Pédoncule caudal de poisson</t>
        </is>
      </c>
      <c r="C29" t="n">
        <v>304</v>
      </c>
    </row>
    <row r="30">
      <c r="A30" t="inlineStr">
        <is>
          <t>CN</t>
        </is>
      </c>
      <c r="B30" t="inlineStr">
        <is>
          <t>Poisson entier</t>
        </is>
      </c>
      <c r="C30" t="n">
        <v>101</v>
      </c>
    </row>
    <row r="31">
      <c r="A31" t="inlineStr">
        <is>
          <t>WE</t>
        </is>
      </c>
      <c r="B31" t="inlineStr">
        <is>
          <t>Poisson etete et equeute</t>
        </is>
      </c>
      <c r="C31" t="n">
        <v>155</v>
      </c>
    </row>
    <row r="32">
      <c r="A32" t="inlineStr">
        <is>
          <t>WV</t>
        </is>
      </c>
      <c r="B32" t="inlineStr">
        <is>
          <t>Poisson sans viscères ni gonades</t>
        </is>
      </c>
      <c r="C32" t="n">
        <v>243</v>
      </c>
    </row>
    <row r="33">
      <c r="A33" t="inlineStr">
        <is>
          <t>RE</t>
        </is>
      </c>
      <c r="B33" t="inlineStr">
        <is>
          <t>Rein de poisson</t>
        </is>
      </c>
      <c r="C33" t="n">
        <v>105</v>
      </c>
    </row>
    <row r="34">
      <c r="A34" t="inlineStr">
        <is>
          <t>NF</t>
        </is>
      </c>
      <c r="B34" t="inlineStr">
        <is>
          <t>Système nerveux de poisson</t>
        </is>
      </c>
      <c r="C34" t="n">
        <v>106</v>
      </c>
    </row>
    <row r="35">
      <c r="A35" t="inlineStr">
        <is>
          <t>TN</t>
        </is>
      </c>
      <c r="B35" t="inlineStr">
        <is>
          <t>Tête de poisson</t>
        </is>
      </c>
      <c r="C35" t="n">
        <v>300</v>
      </c>
    </row>
    <row r="36">
      <c r="A36" t="inlineStr">
        <is>
          <t>WN</t>
        </is>
      </c>
      <c r="B36" t="inlineStr">
        <is>
          <t>Tronc de poisson</t>
        </is>
      </c>
      <c r="C36" t="n">
        <v>307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/>
  </sheetPr>
  <dimension ref="A1:D88"/>
  <sheetViews>
    <sheetView topLeftCell="A25" workbookViewId="0">
      <selection activeCell="B83" sqref="B83"/>
    </sheetView>
  </sheetViews>
  <sheetFormatPr baseColWidth="10" defaultRowHeight="14.25"/>
  <cols>
    <col width="12.25" bestFit="1" customWidth="1" style="91" min="1" max="1"/>
    <col width="26.625" customWidth="1" style="91" min="2" max="2"/>
    <col width="17" customWidth="1" style="91" min="3" max="3"/>
    <col width="12.25" bestFit="1" customWidth="1" style="91" min="4" max="4"/>
  </cols>
  <sheetData>
    <row r="1" ht="15" customHeight="1" s="91" thickBot="1">
      <c r="A1" s="46" t="inlineStr">
        <is>
          <t>Code espèce</t>
        </is>
      </c>
      <c r="B1" s="46" t="inlineStr">
        <is>
          <t>libellé</t>
        </is>
      </c>
      <c r="C1" s="47" t="inlineStr">
        <is>
          <t>code SANDRE</t>
        </is>
      </c>
      <c r="D1" s="46" t="inlineStr">
        <is>
          <t>code TAXREF</t>
        </is>
      </c>
    </row>
    <row r="2">
      <c r="A2" t="inlineStr">
        <is>
          <t>ABL</t>
        </is>
      </c>
      <c r="B2" t="inlineStr">
        <is>
          <t>Ablette</t>
        </is>
      </c>
      <c r="C2" t="n">
        <v>2090</v>
      </c>
      <c r="D2" t="n">
        <v>67111</v>
      </c>
    </row>
    <row r="3">
      <c r="A3" t="inlineStr">
        <is>
          <t>ALA</t>
        </is>
      </c>
      <c r="B3" t="inlineStr">
        <is>
          <t>Alose</t>
        </is>
      </c>
      <c r="C3" t="n">
        <v>2056</v>
      </c>
      <c r="D3" t="n">
        <v>188998</v>
      </c>
    </row>
    <row r="4">
      <c r="A4" t="inlineStr">
        <is>
          <t>ALF</t>
        </is>
      </c>
      <c r="B4" t="inlineStr">
        <is>
          <t>Alose feinte</t>
        </is>
      </c>
      <c r="C4" t="n">
        <v>26166</v>
      </c>
      <c r="D4" t="n">
        <v>66996</v>
      </c>
    </row>
    <row r="5">
      <c r="A5" t="inlineStr">
        <is>
          <t>ALR</t>
        </is>
      </c>
      <c r="B5" t="inlineStr">
        <is>
          <t>Alose du Rhône</t>
        </is>
      </c>
      <c r="D5" t="n">
        <v>67003</v>
      </c>
    </row>
    <row r="6">
      <c r="A6" t="inlineStr">
        <is>
          <t>ANG</t>
        </is>
      </c>
      <c r="B6" t="inlineStr">
        <is>
          <t>Anguille</t>
        </is>
      </c>
      <c r="C6" t="n">
        <v>2038</v>
      </c>
      <c r="D6" t="n">
        <v>66832</v>
      </c>
    </row>
    <row r="7">
      <c r="A7" t="inlineStr">
        <is>
          <t>APP</t>
        </is>
      </c>
      <c r="B7" t="inlineStr">
        <is>
          <t>Ecrevisse à pattes blanches</t>
        </is>
      </c>
      <c r="C7" t="n">
        <v>868</v>
      </c>
      <c r="D7" t="n">
        <v>18437</v>
      </c>
    </row>
    <row r="8">
      <c r="A8" t="inlineStr">
        <is>
          <t>BRE</t>
        </is>
      </c>
      <c r="B8" t="inlineStr">
        <is>
          <t>Brème</t>
        </is>
      </c>
      <c r="C8" t="n">
        <v>2086</v>
      </c>
      <c r="D8" t="n">
        <v>67074</v>
      </c>
    </row>
    <row r="9">
      <c r="A9" t="inlineStr">
        <is>
          <t>BRO</t>
        </is>
      </c>
      <c r="B9" t="inlineStr">
        <is>
          <t>Brochet</t>
        </is>
      </c>
      <c r="C9" t="n">
        <v>2151</v>
      </c>
      <c r="D9" t="n">
        <v>67606</v>
      </c>
    </row>
    <row r="10">
      <c r="A10" t="inlineStr">
        <is>
          <t>CAS</t>
        </is>
      </c>
      <c r="B10" t="inlineStr">
        <is>
          <t>Carassin</t>
        </is>
      </c>
      <c r="C10" t="n">
        <v>2102</v>
      </c>
      <c r="D10" t="n">
        <v>67206</v>
      </c>
    </row>
    <row r="11">
      <c r="A11" t="inlineStr">
        <is>
          <t>CCO</t>
        </is>
      </c>
      <c r="B11" t="inlineStr">
        <is>
          <t>Carpe</t>
        </is>
      </c>
      <c r="C11" t="n">
        <v>2110</v>
      </c>
      <c r="D11" t="n">
        <v>67058</v>
      </c>
    </row>
    <row r="12">
      <c r="A12" t="inlineStr">
        <is>
          <t>CCU</t>
        </is>
      </c>
      <c r="B12" t="inlineStr">
        <is>
          <t>Carpe cuir</t>
        </is>
      </c>
      <c r="C12" t="n">
        <v>2111</v>
      </c>
      <c r="D12" t="n">
        <v>426015</v>
      </c>
    </row>
    <row r="13">
      <c r="A13" t="inlineStr">
        <is>
          <t>CHA</t>
        </is>
      </c>
      <c r="B13" t="inlineStr">
        <is>
          <t>Chabot</t>
        </is>
      </c>
      <c r="C13" t="n">
        <v>2080</v>
      </c>
      <c r="D13" t="n">
        <v>69182</v>
      </c>
    </row>
    <row r="14">
      <c r="A14" t="inlineStr">
        <is>
          <t>CHE</t>
        </is>
      </c>
      <c r="B14" t="inlineStr">
        <is>
          <t>Chevaine</t>
        </is>
      </c>
      <c r="C14" t="n">
        <v>2120</v>
      </c>
      <c r="D14" t="n">
        <v>67310</v>
      </c>
    </row>
    <row r="15">
      <c r="A15" t="inlineStr">
        <is>
          <t>CMI</t>
        </is>
      </c>
      <c r="B15" t="inlineStr">
        <is>
          <t>Carpe Mirroir</t>
        </is>
      </c>
      <c r="C15" t="n">
        <v>2109</v>
      </c>
      <c r="D15" t="n">
        <v>426015</v>
      </c>
    </row>
    <row r="16" customFormat="1" s="22">
      <c r="A16" s="22" t="inlineStr">
        <is>
          <t>COR</t>
        </is>
      </c>
      <c r="B16" s="22" t="inlineStr">
        <is>
          <t>Corégone</t>
        </is>
      </c>
      <c r="C16" s="22" t="n">
        <v>2076</v>
      </c>
      <c r="D16" s="22" t="n">
        <v>67862</v>
      </c>
    </row>
    <row r="17">
      <c r="A17" t="inlineStr">
        <is>
          <t>COU</t>
        </is>
      </c>
      <c r="B17" t="inlineStr">
        <is>
          <t>couleuvre</t>
        </is>
      </c>
      <c r="D17" t="n">
        <v>78064</v>
      </c>
    </row>
    <row r="18">
      <c r="A18" t="inlineStr">
        <is>
          <t>CTI</t>
        </is>
      </c>
      <c r="B18" t="inlineStr">
        <is>
          <t>Carpe chinoise</t>
        </is>
      </c>
      <c r="C18" t="n">
        <v>31039</v>
      </c>
      <c r="D18" t="n">
        <v>67246</v>
      </c>
    </row>
    <row r="19">
      <c r="A19" t="inlineStr">
        <is>
          <t>EPT</t>
        </is>
      </c>
      <c r="B19" t="inlineStr">
        <is>
          <t>Epinochette</t>
        </is>
      </c>
      <c r="C19" t="n">
        <v>2167</v>
      </c>
      <c r="D19" t="n">
        <v>69016</v>
      </c>
    </row>
    <row r="20">
      <c r="A20" t="inlineStr">
        <is>
          <t>FLE</t>
        </is>
      </c>
      <c r="B20" t="inlineStr">
        <is>
          <t>Flet</t>
        </is>
      </c>
      <c r="C20" t="n">
        <v>2203</v>
      </c>
      <c r="D20" t="n">
        <v>70554</v>
      </c>
    </row>
    <row r="21">
      <c r="A21" t="inlineStr">
        <is>
          <t>GAR</t>
        </is>
      </c>
      <c r="B21" t="inlineStr">
        <is>
          <t>Gardon</t>
        </is>
      </c>
      <c r="C21" t="n">
        <v>2133</v>
      </c>
      <c r="D21" t="n">
        <v>67422</v>
      </c>
    </row>
    <row r="22">
      <c r="A22" t="inlineStr">
        <is>
          <t>GOU</t>
        </is>
      </c>
      <c r="B22" t="inlineStr">
        <is>
          <t>Goujon</t>
        </is>
      </c>
      <c r="C22" t="n">
        <v>2113</v>
      </c>
      <c r="D22" t="n">
        <v>67257</v>
      </c>
    </row>
    <row r="23">
      <c r="A23" t="inlineStr">
        <is>
          <t>GRE</t>
        </is>
      </c>
      <c r="B23" t="inlineStr">
        <is>
          <t>Grémille</t>
        </is>
      </c>
      <c r="C23" t="n">
        <v>2191</v>
      </c>
      <c r="D23" t="n">
        <v>459644</v>
      </c>
    </row>
    <row r="24">
      <c r="A24" t="inlineStr">
        <is>
          <t>LAM</t>
        </is>
      </c>
      <c r="B24" t="inlineStr">
        <is>
          <t>Lamproie petromyzontidaee</t>
        </is>
      </c>
      <c r="C24" t="n">
        <v>2009</v>
      </c>
      <c r="D24" t="n">
        <v>185699</v>
      </c>
    </row>
    <row r="25">
      <c r="A25" t="inlineStr">
        <is>
          <t>LOF</t>
        </is>
      </c>
      <c r="B25" t="inlineStr">
        <is>
          <t>Loche Franche</t>
        </is>
      </c>
      <c r="C25" t="n">
        <v>2071</v>
      </c>
      <c r="D25" t="n">
        <v>67550</v>
      </c>
    </row>
    <row r="26">
      <c r="A26" t="inlineStr">
        <is>
          <t>LOM</t>
        </is>
      </c>
      <c r="B26" t="inlineStr">
        <is>
          <t>Bar moucheté</t>
        </is>
      </c>
      <c r="C26" t="n">
        <v>2235</v>
      </c>
      <c r="D26" t="n">
        <v>69321</v>
      </c>
    </row>
    <row r="27">
      <c r="A27" t="inlineStr">
        <is>
          <t>LOU</t>
        </is>
      </c>
      <c r="B27" t="inlineStr">
        <is>
          <t>Bar</t>
        </is>
      </c>
      <c r="C27" t="n">
        <v>2234</v>
      </c>
      <c r="D27" t="n">
        <v>69317</v>
      </c>
    </row>
    <row r="28">
      <c r="A28" t="inlineStr">
        <is>
          <t>LP</t>
        </is>
      </c>
      <c r="B28" t="inlineStr">
        <is>
          <t>Lamproie lampretra</t>
        </is>
      </c>
      <c r="D28" t="n">
        <v>193826</v>
      </c>
    </row>
    <row r="29">
      <c r="A29" t="inlineStr">
        <is>
          <t>LPM</t>
        </is>
      </c>
      <c r="B29" t="inlineStr">
        <is>
          <t>Lamproie marine</t>
        </is>
      </c>
      <c r="C29" t="n">
        <v>2014</v>
      </c>
      <c r="D29" t="n">
        <v>66315</v>
      </c>
    </row>
    <row r="30">
      <c r="A30" t="inlineStr">
        <is>
          <t>LPP</t>
        </is>
      </c>
      <c r="B30" t="inlineStr">
        <is>
          <t>Lamproie de planer</t>
        </is>
      </c>
      <c r="C30" t="n">
        <v>2012</v>
      </c>
      <c r="D30" t="n">
        <v>66333</v>
      </c>
    </row>
    <row r="31">
      <c r="A31" t="inlineStr">
        <is>
          <t>LPR</t>
        </is>
      </c>
      <c r="B31" t="inlineStr">
        <is>
          <t>Lamproie fluviatile</t>
        </is>
      </c>
      <c r="C31" t="n">
        <v>2011</v>
      </c>
      <c r="D31" t="n">
        <v>66330</v>
      </c>
    </row>
    <row r="32">
      <c r="A32" t="inlineStr">
        <is>
          <t>MGL</t>
        </is>
      </c>
      <c r="B32" t="inlineStr">
        <is>
          <t>Mulet à grosse lèvre</t>
        </is>
      </c>
      <c r="C32" t="n">
        <v>2180</v>
      </c>
      <c r="D32" t="n">
        <v>69777</v>
      </c>
    </row>
    <row r="33">
      <c r="A33" t="inlineStr">
        <is>
          <t>MUD</t>
        </is>
      </c>
      <c r="B33" t="inlineStr">
        <is>
          <t>Mulet doré</t>
        </is>
      </c>
      <c r="C33" t="n">
        <v>2182</v>
      </c>
      <c r="D33" t="n">
        <v>69783</v>
      </c>
    </row>
    <row r="34">
      <c r="A34" t="inlineStr">
        <is>
          <t>MUP</t>
        </is>
      </c>
      <c r="B34" t="inlineStr">
        <is>
          <t>Mulet porc</t>
        </is>
      </c>
      <c r="C34" t="n">
        <v>2183</v>
      </c>
      <c r="D34" t="n">
        <v>69790</v>
      </c>
    </row>
    <row r="35" customFormat="1" s="22">
      <c r="A35" s="22" t="inlineStr">
        <is>
          <t>OBL</t>
        </is>
      </c>
      <c r="B35" s="22" t="inlineStr">
        <is>
          <t>Omble chevalier</t>
        </is>
      </c>
      <c r="C35" s="22" t="n">
        <v>2226</v>
      </c>
      <c r="D35" s="22" t="n">
        <v>67812</v>
      </c>
    </row>
    <row r="36">
      <c r="A36" t="inlineStr">
        <is>
          <t>OCL</t>
        </is>
      </c>
      <c r="B36" t="inlineStr">
        <is>
          <t>Ecrevisse Orconectes Limosus</t>
        </is>
      </c>
      <c r="C36" t="n">
        <v>871</v>
      </c>
      <c r="D36" t="n">
        <v>17646</v>
      </c>
    </row>
    <row r="37" customFormat="1" s="22">
      <c r="A37" s="22" t="inlineStr">
        <is>
          <t>PER</t>
        </is>
      </c>
      <c r="B37" s="22" t="inlineStr">
        <is>
          <t>Perche</t>
        </is>
      </c>
      <c r="C37" s="22" t="n">
        <v>2193</v>
      </c>
      <c r="D37" s="22" t="n">
        <v>69350</v>
      </c>
    </row>
    <row r="38">
      <c r="A38" t="inlineStr">
        <is>
          <t>PES</t>
        </is>
      </c>
      <c r="B38" t="inlineStr">
        <is>
          <t>Perche soleil</t>
        </is>
      </c>
      <c r="C38" t="n">
        <v>2050</v>
      </c>
      <c r="D38" t="n">
        <v>69338</v>
      </c>
    </row>
    <row r="39">
      <c r="A39" t="inlineStr">
        <is>
          <t>PFL</t>
        </is>
      </c>
      <c r="B39" t="inlineStr">
        <is>
          <t>Ecrevisse Pacifastacus</t>
        </is>
      </c>
      <c r="C39" t="n">
        <v>872</v>
      </c>
      <c r="D39" t="n">
        <v>162667</v>
      </c>
    </row>
    <row r="40">
      <c r="A40" t="inlineStr">
        <is>
          <t>RAN</t>
        </is>
      </c>
      <c r="B40" t="inlineStr">
        <is>
          <t>Rana sp</t>
        </is>
      </c>
      <c r="C40" t="n">
        <v>3303</v>
      </c>
      <c r="D40" t="n">
        <v>197040</v>
      </c>
    </row>
    <row r="41">
      <c r="A41" t="inlineStr">
        <is>
          <t>ROT</t>
        </is>
      </c>
      <c r="B41" t="inlineStr">
        <is>
          <t>Rotengle</t>
        </is>
      </c>
      <c r="C41" t="n">
        <v>2135</v>
      </c>
      <c r="D41" t="n">
        <v>579732</v>
      </c>
    </row>
    <row r="42">
      <c r="A42" t="inlineStr">
        <is>
          <t>SAL</t>
        </is>
      </c>
      <c r="B42" t="inlineStr">
        <is>
          <t>Saumon (genre Salmo)</t>
        </is>
      </c>
      <c r="C42" t="n">
        <v>2219</v>
      </c>
      <c r="D42" t="n">
        <v>197336</v>
      </c>
    </row>
    <row r="43">
      <c r="A43" t="inlineStr">
        <is>
          <t>SAT</t>
        </is>
      </c>
      <c r="B43" t="inlineStr">
        <is>
          <t>Saumon</t>
        </is>
      </c>
      <c r="C43" t="n">
        <v>2220</v>
      </c>
      <c r="D43" t="n">
        <v>67765</v>
      </c>
    </row>
    <row r="44">
      <c r="A44" t="inlineStr">
        <is>
          <t>SCO</t>
        </is>
      </c>
      <c r="B44" t="inlineStr">
        <is>
          <t>Saumon Coho</t>
        </is>
      </c>
      <c r="D44" t="n">
        <v>558490</v>
      </c>
    </row>
    <row r="45">
      <c r="A45" t="inlineStr">
        <is>
          <t>SIL</t>
        </is>
      </c>
      <c r="B45" t="inlineStr">
        <is>
          <t>Silure</t>
        </is>
      </c>
      <c r="C45" t="n">
        <v>2238</v>
      </c>
      <c r="D45" t="n">
        <v>579737</v>
      </c>
    </row>
    <row r="46">
      <c r="A46" t="inlineStr">
        <is>
          <t>TAC</t>
        </is>
      </c>
      <c r="B46" t="inlineStr">
        <is>
          <t>Truite Arc en Ciel</t>
        </is>
      </c>
      <c r="C46" t="n">
        <v>2216</v>
      </c>
      <c r="D46" t="n">
        <v>585598</v>
      </c>
    </row>
    <row r="47">
      <c r="A47" t="inlineStr">
        <is>
          <t>TAN</t>
        </is>
      </c>
      <c r="B47" t="inlineStr">
        <is>
          <t>Tanche</t>
        </is>
      </c>
      <c r="C47" t="n">
        <v>2137</v>
      </c>
      <c r="D47" t="n">
        <v>67478</v>
      </c>
    </row>
    <row r="48">
      <c r="A48" t="inlineStr">
        <is>
          <t>TOF</t>
        </is>
      </c>
      <c r="B48" t="inlineStr">
        <is>
          <t>Tortue Floride</t>
        </is>
      </c>
      <c r="D48" t="n">
        <v>77425</v>
      </c>
    </row>
    <row r="49" customFormat="1" s="22">
      <c r="A49" s="22" t="inlineStr">
        <is>
          <t>TRF</t>
        </is>
      </c>
      <c r="B49" s="22" t="inlineStr">
        <is>
          <t>Truite</t>
        </is>
      </c>
      <c r="C49" s="22" t="n">
        <v>2221</v>
      </c>
      <c r="D49" s="22" t="n">
        <v>67772</v>
      </c>
    </row>
    <row r="50" customFormat="1" s="22">
      <c r="A50" s="22" t="inlineStr">
        <is>
          <t>TRL</t>
        </is>
      </c>
      <c r="B50" s="22" t="inlineStr">
        <is>
          <t>Truite de Lac</t>
        </is>
      </c>
      <c r="C50" s="22" t="n">
        <v>2222</v>
      </c>
      <c r="D50" s="22" t="n">
        <v>67781</v>
      </c>
    </row>
    <row r="51">
      <c r="A51" t="inlineStr">
        <is>
          <t>TRM</t>
        </is>
      </c>
      <c r="B51" t="inlineStr">
        <is>
          <t>Truite de mer</t>
        </is>
      </c>
      <c r="C51" t="n">
        <v>2224</v>
      </c>
      <c r="D51" t="n">
        <v>67774</v>
      </c>
    </row>
    <row r="52">
      <c r="A52" t="inlineStr">
        <is>
          <t>VAI</t>
        </is>
      </c>
      <c r="B52" t="inlineStr">
        <is>
          <t>Vairon</t>
        </is>
      </c>
      <c r="C52" t="n">
        <v>2125</v>
      </c>
      <c r="D52" t="n">
        <v>67404</v>
      </c>
    </row>
    <row r="53">
      <c r="A53" t="inlineStr">
        <is>
          <t>VAN</t>
        </is>
      </c>
      <c r="B53" t="inlineStr">
        <is>
          <t>Vandoise</t>
        </is>
      </c>
      <c r="C53" t="n">
        <v>2122</v>
      </c>
      <c r="D53" t="n">
        <v>67295</v>
      </c>
    </row>
    <row r="54">
      <c r="A54" t="inlineStr">
        <is>
          <t>IND</t>
        </is>
      </c>
      <c r="B54" t="inlineStr">
        <is>
          <t>Indéterminé</t>
        </is>
      </c>
    </row>
    <row r="55">
      <c r="A55" t="inlineStr">
        <is>
          <t>TRI</t>
        </is>
      </c>
      <c r="B55" t="inlineStr">
        <is>
          <t>Triton</t>
        </is>
      </c>
    </row>
    <row r="56">
      <c r="A56" t="inlineStr">
        <is>
          <t>OBR</t>
        </is>
      </c>
      <c r="B56" t="inlineStr">
        <is>
          <t>Ombre commun</t>
        </is>
      </c>
      <c r="C56" t="n">
        <v>2247</v>
      </c>
      <c r="D56" t="n">
        <v>67759</v>
      </c>
    </row>
    <row r="57">
      <c r="A57" t="inlineStr">
        <is>
          <t>SAN</t>
        </is>
      </c>
      <c r="B57" t="inlineStr">
        <is>
          <t>Sandre</t>
        </is>
      </c>
      <c r="C57" t="n">
        <v>2195</v>
      </c>
      <c r="D57" t="n">
        <v>69372</v>
      </c>
    </row>
    <row r="58">
      <c r="A58" t="inlineStr">
        <is>
          <t>BBG</t>
        </is>
      </c>
      <c r="B58" t="inlineStr">
        <is>
          <t>Black-bass à  grande bouche</t>
        </is>
      </c>
      <c r="C58" t="n">
        <v>2053</v>
      </c>
      <c r="D58" t="n">
        <v>69346</v>
      </c>
    </row>
    <row r="59">
      <c r="A59" t="inlineStr">
        <is>
          <t>CLA</t>
        </is>
      </c>
      <c r="B59" t="inlineStr">
        <is>
          <t>Ecrevisse Clarkii</t>
        </is>
      </c>
      <c r="C59" t="n">
        <v>2028</v>
      </c>
      <c r="D59" t="n">
        <v>162668</v>
      </c>
    </row>
    <row r="60">
      <c r="A60" t="inlineStr">
        <is>
          <t>EPI</t>
        </is>
      </c>
      <c r="B60" t="inlineStr">
        <is>
          <t>Epinoche</t>
        </is>
      </c>
      <c r="C60" t="n">
        <v>2165</v>
      </c>
      <c r="D60" t="n">
        <v>69010</v>
      </c>
    </row>
    <row r="61">
      <c r="A61" t="inlineStr">
        <is>
          <t>GAM</t>
        </is>
      </c>
      <c r="B61" t="inlineStr">
        <is>
          <t>Gambusie</t>
        </is>
      </c>
      <c r="C61" t="n">
        <v>2208</v>
      </c>
      <c r="D61" t="n">
        <v>68825</v>
      </c>
    </row>
    <row r="62">
      <c r="A62" t="inlineStr">
        <is>
          <t>CAR</t>
        </is>
      </c>
      <c r="B62" t="inlineStr">
        <is>
          <t>Carpe argentée</t>
        </is>
      </c>
      <c r="C62" t="n">
        <v>2115</v>
      </c>
      <c r="D62" t="n">
        <v>67275</v>
      </c>
    </row>
    <row r="63">
      <c r="A63" t="inlineStr">
        <is>
          <t>JUP</t>
        </is>
      </c>
      <c r="B63" t="inlineStr">
        <is>
          <t>Jussie</t>
        </is>
      </c>
      <c r="C63" t="n">
        <v>1856</v>
      </c>
      <c r="D63" t="n">
        <v>106748</v>
      </c>
    </row>
    <row r="64">
      <c r="A64" t="inlineStr">
        <is>
          <t>JUG</t>
        </is>
      </c>
      <c r="B64" t="inlineStr">
        <is>
          <t>Ludwigie à  grandes fleurs, Jussie</t>
        </is>
      </c>
      <c r="C64" t="n">
        <v>19845</v>
      </c>
      <c r="D64" t="n">
        <v>106742</v>
      </c>
    </row>
    <row r="65">
      <c r="A65" t="inlineStr">
        <is>
          <t>CHL</t>
        </is>
      </c>
      <c r="B65" t="inlineStr">
        <is>
          <t>Chlorella vulgaris</t>
        </is>
      </c>
      <c r="C65" t="n">
        <v>5933</v>
      </c>
      <c r="D65" t="n">
        <v>73636</v>
      </c>
    </row>
    <row r="66">
      <c r="A66" t="inlineStr">
        <is>
          <t>CHI</t>
        </is>
      </c>
      <c r="B66" t="inlineStr">
        <is>
          <t>Chironome</t>
        </is>
      </c>
      <c r="C66" t="n">
        <v>817</v>
      </c>
      <c r="D66" t="n">
        <v>190706</v>
      </c>
    </row>
    <row r="67">
      <c r="A67" t="inlineStr">
        <is>
          <t>CHIR</t>
        </is>
      </c>
      <c r="B67" t="inlineStr">
        <is>
          <t>Chironome riparius</t>
        </is>
      </c>
      <c r="C67" t="n">
        <v>47154</v>
      </c>
      <c r="D67" t="n">
        <v>20710</v>
      </c>
    </row>
    <row r="68">
      <c r="A68" t="inlineStr">
        <is>
          <t>LIM</t>
        </is>
      </c>
      <c r="B68" t="inlineStr">
        <is>
          <t>Grande limnée</t>
        </is>
      </c>
      <c r="C68" t="n">
        <v>1000</v>
      </c>
      <c r="D68" t="n">
        <v>64063</v>
      </c>
    </row>
    <row r="69">
      <c r="A69" t="inlineStr">
        <is>
          <t>DAP</t>
        </is>
      </c>
      <c r="B69" t="inlineStr">
        <is>
          <t>Daphnie</t>
        </is>
      </c>
    </row>
    <row r="70">
      <c r="A70" t="inlineStr">
        <is>
          <t>DAPM</t>
        </is>
      </c>
      <c r="B70" t="inlineStr">
        <is>
          <t>Daphnie géante (La)</t>
        </is>
      </c>
      <c r="C70" t="n">
        <v>49333</v>
      </c>
      <c r="D70" t="n">
        <v>240644</v>
      </c>
    </row>
    <row r="71">
      <c r="A71" t="inlineStr">
        <is>
          <t>DAPP</t>
        </is>
      </c>
      <c r="B71" t="inlineStr">
        <is>
          <t>Daphnie puce (La)</t>
        </is>
      </c>
      <c r="C71" t="n">
        <v>46984</v>
      </c>
      <c r="D71" t="n">
        <v>17686</v>
      </c>
    </row>
    <row r="72">
      <c r="A72" t="inlineStr">
        <is>
          <t>POT</t>
        </is>
      </c>
      <c r="B72" t="inlineStr">
        <is>
          <t>Hydrobie des antipodes</t>
        </is>
      </c>
      <c r="C72" t="n">
        <v>979</v>
      </c>
      <c r="D72" t="n">
        <v>62131</v>
      </c>
    </row>
    <row r="73">
      <c r="A73" t="inlineStr">
        <is>
          <t>ELO</t>
        </is>
      </c>
      <c r="B73" t="inlineStr">
        <is>
          <t>Elodée du Canada</t>
        </is>
      </c>
      <c r="C73" t="n">
        <v>1586</v>
      </c>
      <c r="D73" t="n">
        <v>95980</v>
      </c>
    </row>
    <row r="74">
      <c r="A74" t="inlineStr">
        <is>
          <t>GUP</t>
        </is>
      </c>
      <c r="B74" t="inlineStr">
        <is>
          <t>Guppy</t>
        </is>
      </c>
      <c r="C74" t="n">
        <v>3257</v>
      </c>
      <c r="D74" t="n">
        <v>68823</v>
      </c>
    </row>
    <row r="75">
      <c r="A75" t="inlineStr">
        <is>
          <t>MED</t>
        </is>
      </c>
      <c r="B75" t="inlineStr">
        <is>
          <t>Médaka</t>
        </is>
      </c>
    </row>
    <row r="76">
      <c r="A76" t="inlineStr">
        <is>
          <t>KOI</t>
        </is>
      </c>
      <c r="B76" t="inlineStr">
        <is>
          <t>Carpe Koi</t>
        </is>
      </c>
      <c r="C76" t="n">
        <v>2109</v>
      </c>
      <c r="D76" t="n">
        <v>67058</v>
      </c>
    </row>
    <row r="77">
      <c r="A77" t="inlineStr">
        <is>
          <t>CAA</t>
        </is>
      </c>
      <c r="B77" t="inlineStr">
        <is>
          <t>Carassin doré</t>
        </is>
      </c>
      <c r="C77" t="n">
        <v>67208</v>
      </c>
      <c r="D77" t="n">
        <v>67208</v>
      </c>
    </row>
    <row r="78">
      <c r="A78" t="inlineStr">
        <is>
          <t>EST</t>
        </is>
      </c>
      <c r="B78" t="inlineStr">
        <is>
          <t>Esturgeon (genre Acipenser)</t>
        </is>
      </c>
      <c r="C78" t="n">
        <v>2031</v>
      </c>
      <c r="D78" t="n">
        <v>188758</v>
      </c>
    </row>
    <row r="79">
      <c r="A79" t="inlineStr">
        <is>
          <t>HYB</t>
        </is>
      </c>
      <c r="B79" t="inlineStr">
        <is>
          <t>Hybride</t>
        </is>
      </c>
    </row>
    <row r="80">
      <c r="A80" t="inlineStr">
        <is>
          <t>ATH</t>
        </is>
      </c>
      <c r="B80" t="inlineStr">
        <is>
          <t xml:space="preserve">Athérina Presbyter </t>
        </is>
      </c>
      <c r="C80" t="n">
        <v>31693</v>
      </c>
      <c r="D80" t="n">
        <v>68836</v>
      </c>
    </row>
    <row r="81">
      <c r="A81" t="inlineStr">
        <is>
          <t>PLI</t>
        </is>
      </c>
      <c r="B81" t="inlineStr">
        <is>
          <t>Pleuronectes platessa</t>
        </is>
      </c>
      <c r="C81" t="n">
        <v>2205</v>
      </c>
      <c r="D81" t="n">
        <v>70548</v>
      </c>
    </row>
    <row r="82">
      <c r="A82" t="inlineStr">
        <is>
          <t>ERS</t>
        </is>
      </c>
      <c r="B82" t="inlineStr">
        <is>
          <t>Crabe chinois</t>
        </is>
      </c>
      <c r="C82" t="n">
        <v>879</v>
      </c>
      <c r="D82" t="n">
        <v>18515</v>
      </c>
    </row>
    <row r="83">
      <c r="A83" t="inlineStr">
        <is>
          <t>SDF</t>
        </is>
      </c>
      <c r="B83" t="inlineStr">
        <is>
          <t>Omble fontaine</t>
        </is>
      </c>
      <c r="C83" t="n">
        <v>2227</v>
      </c>
      <c r="D83" t="n">
        <v>67817</v>
      </c>
    </row>
    <row r="84">
      <c r="A84" t="inlineStr">
        <is>
          <t>PSR</t>
        </is>
      </c>
      <c r="B84" t="inlineStr">
        <is>
          <t>Pseudorasbora</t>
        </is>
      </c>
      <c r="C84" t="n">
        <v>2129</v>
      </c>
      <c r="D84" t="n">
        <v>67415</v>
      </c>
    </row>
    <row r="85">
      <c r="A85" t="inlineStr">
        <is>
          <t>DOR</t>
        </is>
      </c>
      <c r="B85" t="inlineStr">
        <is>
          <t>Dorade royale</t>
        </is>
      </c>
      <c r="C85" t="n">
        <v>28750</v>
      </c>
      <c r="D85" t="n">
        <v>363799</v>
      </c>
    </row>
    <row r="86">
      <c r="A86" t="inlineStr">
        <is>
          <t>SCH</t>
        </is>
      </c>
      <c r="B86" t="inlineStr">
        <is>
          <t>Saumon chinook</t>
        </is>
      </c>
      <c r="C86" t="n">
        <v>2217</v>
      </c>
      <c r="D86" t="n">
        <v>162674</v>
      </c>
    </row>
    <row r="87">
      <c r="A87" t="inlineStr">
        <is>
          <t>BRB</t>
        </is>
      </c>
      <c r="B87" t="inlineStr">
        <is>
          <t>Brème bordelière</t>
        </is>
      </c>
      <c r="C87" t="n">
        <v>2099</v>
      </c>
      <c r="D87" t="n">
        <v>67203</v>
      </c>
    </row>
    <row r="88">
      <c r="A88" s="43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tabColor theme="9"/>
    <outlinePr summaryBelow="1" summaryRight="1"/>
    <pageSetUpPr/>
  </sheetPr>
  <dimension ref="A1:A2"/>
  <sheetViews>
    <sheetView workbookViewId="0">
      <selection activeCell="A2" sqref="A2"/>
    </sheetView>
  </sheetViews>
  <sheetFormatPr baseColWidth="10" defaultRowHeight="14.25"/>
  <sheetData>
    <row r="1">
      <c r="A1" t="inlineStr">
        <is>
          <t xml:space="preserve">Ligne </t>
        </is>
      </c>
    </row>
    <row r="2">
      <c r="A2" t="inlineStr">
        <is>
          <t xml:space="preserve">Filet 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theme="7" tint="0.5999938962981048"/>
    <outlinePr summaryBelow="1" summaryRight="1"/>
    <pageSetUpPr/>
  </sheetPr>
  <dimension ref="A1:E6"/>
  <sheetViews>
    <sheetView workbookViewId="0">
      <selection activeCell="A31" sqref="A31"/>
    </sheetView>
  </sheetViews>
  <sheetFormatPr baseColWidth="10" defaultRowHeight="14.25"/>
  <cols>
    <col width="14.375" customWidth="1" style="91" min="1" max="1"/>
    <col width="20.875" customWidth="1" style="91" min="2" max="2"/>
    <col width="12.625" customWidth="1" style="91" min="3" max="3"/>
    <col width="76.875" customWidth="1" style="43" min="4" max="4"/>
  </cols>
  <sheetData>
    <row r="1" ht="15.75" customFormat="1" customHeight="1" s="43" thickBot="1">
      <c r="A1" s="54" t="inlineStr">
        <is>
          <t>CodeStade</t>
        </is>
      </c>
      <c r="B1" s="53" t="inlineStr">
        <is>
          <t>DescriptionCodeStade</t>
        </is>
      </c>
      <c r="C1" s="53" t="inlineStr">
        <is>
          <t>CodeSandre</t>
        </is>
      </c>
      <c r="D1" s="53" t="n"/>
      <c r="E1" s="52" t="n"/>
    </row>
    <row r="2" ht="15" customHeight="1" s="91">
      <c r="A2" s="51" t="inlineStr">
        <is>
          <t>A</t>
        </is>
      </c>
      <c r="B2" s="51" t="inlineStr">
        <is>
          <t>Adulte</t>
        </is>
      </c>
      <c r="C2" s="51" t="inlineStr">
        <is>
          <t>5</t>
        </is>
      </c>
      <c r="D2" s="51" t="n"/>
      <c r="E2" s="50" t="n"/>
    </row>
    <row r="3" ht="15" customHeight="1" s="91">
      <c r="A3" s="49" t="inlineStr">
        <is>
          <t>J</t>
        </is>
      </c>
      <c r="B3" s="49" t="inlineStr">
        <is>
          <t>Juvénile</t>
        </is>
      </c>
      <c r="C3" s="49" t="inlineStr"/>
      <c r="D3" s="49" t="n"/>
      <c r="E3" s="48" t="n"/>
    </row>
    <row r="4" ht="15" customHeight="1" s="91">
      <c r="A4" s="49" t="inlineStr">
        <is>
          <t>L</t>
        </is>
      </c>
      <c r="B4" s="49" t="inlineStr">
        <is>
          <t>Larve</t>
        </is>
      </c>
      <c r="C4" s="49" t="inlineStr">
        <is>
          <t>3</t>
        </is>
      </c>
      <c r="D4" s="49" t="n"/>
      <c r="E4" s="48" t="n"/>
    </row>
    <row r="5" ht="15" customHeight="1" s="91">
      <c r="A5" s="49" t="inlineStr">
        <is>
          <t>N</t>
        </is>
      </c>
      <c r="B5" s="49" t="inlineStr">
        <is>
          <t>Non recherché</t>
        </is>
      </c>
      <c r="C5" s="49" t="inlineStr">
        <is>
          <t>1</t>
        </is>
      </c>
      <c r="D5" s="49" t="n"/>
      <c r="E5" s="48" t="n"/>
    </row>
    <row r="6" ht="30" customHeight="1" s="91">
      <c r="A6" s="49" t="inlineStr">
        <is>
          <t>R</t>
        </is>
      </c>
      <c r="B6" s="49" t="inlineStr">
        <is>
          <t>Recherché mais non déterminé</t>
        </is>
      </c>
      <c r="C6" s="49" t="inlineStr">
        <is>
          <t>1</t>
        </is>
      </c>
      <c r="D6" s="49" t="n"/>
      <c r="E6" s="48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31" sqref="A31"/>
    </sheetView>
  </sheetViews>
  <sheetFormatPr baseColWidth="10" defaultRowHeight="14.25"/>
  <sheetData>
    <row r="1">
      <c r="A1" t="inlineStr">
        <is>
          <t>Palée</t>
        </is>
      </c>
    </row>
    <row r="2">
      <c r="A2" t="inlineStr">
        <is>
          <t>Bondelle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0" tint="-0.1499984740745262"/>
    <outlinePr summaryBelow="1" summaryRight="1"/>
    <pageSetUpPr/>
  </sheetPr>
  <dimension ref="A1:B10"/>
  <sheetViews>
    <sheetView workbookViewId="0">
      <selection activeCell="A31" sqref="A31"/>
    </sheetView>
  </sheetViews>
  <sheetFormatPr baseColWidth="10" defaultRowHeight="14.25"/>
  <cols>
    <col width="13.375" customWidth="1" style="91" min="1" max="1"/>
    <col width="29" customWidth="1" style="91" min="2" max="2"/>
  </cols>
  <sheetData>
    <row r="1" ht="29.25" customFormat="1" customHeight="1" s="43" thickBot="1">
      <c r="A1" s="55" t="inlineStr">
        <is>
          <t>Code maturité sexuelle</t>
        </is>
      </c>
      <c r="B1" s="44" t="inlineStr">
        <is>
          <t>Libellé</t>
        </is>
      </c>
    </row>
    <row r="2">
      <c r="A2" s="16" t="inlineStr">
        <is>
          <t>A</t>
        </is>
      </c>
      <c r="B2" t="inlineStr">
        <is>
          <t>A frayé</t>
        </is>
      </c>
    </row>
    <row r="3">
      <c r="A3" t="inlineStr">
        <is>
          <t>B</t>
        </is>
      </c>
      <c r="B3" t="inlineStr">
        <is>
          <t>Bouton de noce</t>
        </is>
      </c>
    </row>
    <row r="4">
      <c r="A4" t="inlineStr">
        <is>
          <t>C</t>
        </is>
      </c>
      <c r="B4" t="inlineStr">
        <is>
          <t>A commencé à frayer</t>
        </is>
      </c>
    </row>
    <row r="5">
      <c r="A5" t="inlineStr">
        <is>
          <t>I</t>
        </is>
      </c>
      <c r="B5" t="inlineStr">
        <is>
          <t>Non Mature</t>
        </is>
      </c>
    </row>
    <row r="6">
      <c r="A6" t="inlineStr">
        <is>
          <t>N</t>
        </is>
      </c>
      <c r="B6" t="inlineStr">
        <is>
          <t>Non recherché</t>
        </is>
      </c>
    </row>
    <row r="7">
      <c r="A7" t="inlineStr">
        <is>
          <t>O</t>
        </is>
      </c>
      <c r="B7" t="inlineStr">
        <is>
          <t>Perte d'ovules</t>
        </is>
      </c>
    </row>
    <row r="8">
      <c r="A8" t="inlineStr">
        <is>
          <t>P</t>
        </is>
      </c>
      <c r="B8" t="inlineStr">
        <is>
          <t>Femelle pleine</t>
        </is>
      </c>
    </row>
    <row r="9">
      <c r="A9" t="inlineStr">
        <is>
          <t>R</t>
        </is>
      </c>
      <c r="B9" t="inlineStr">
        <is>
          <t>Recherché mais non déterminé</t>
        </is>
      </c>
    </row>
    <row r="10">
      <c r="A10" t="inlineStr">
        <is>
          <t>S</t>
        </is>
      </c>
      <c r="B10" t="inlineStr">
        <is>
          <t>Spermiant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theme="9" tint="0.5999938962981048"/>
    <outlinePr summaryBelow="1" summaryRight="1"/>
    <pageSetUpPr/>
  </sheetPr>
  <dimension ref="A1:B5"/>
  <sheetViews>
    <sheetView workbookViewId="0">
      <selection activeCell="A31" sqref="A31"/>
    </sheetView>
  </sheetViews>
  <sheetFormatPr baseColWidth="10" defaultRowHeight="14.25"/>
  <cols>
    <col width="12.875" bestFit="1" customWidth="1" style="91" min="2" max="2"/>
  </cols>
  <sheetData>
    <row r="1" ht="15" customHeight="1" s="91" thickBot="1">
      <c r="A1" s="56" t="inlineStr">
        <is>
          <t>Code sexe</t>
        </is>
      </c>
      <c r="B1" s="46" t="inlineStr">
        <is>
          <t>Libellé</t>
        </is>
      </c>
    </row>
    <row r="2">
      <c r="A2" t="inlineStr">
        <is>
          <t>F</t>
        </is>
      </c>
      <c r="B2" t="inlineStr">
        <is>
          <t>Femelle</t>
        </is>
      </c>
    </row>
    <row r="3">
      <c r="A3" t="inlineStr">
        <is>
          <t>M</t>
        </is>
      </c>
      <c r="B3" t="inlineStr">
        <is>
          <t>Mâle</t>
        </is>
      </c>
    </row>
    <row r="4">
      <c r="A4" t="inlineStr">
        <is>
          <t>N</t>
        </is>
      </c>
      <c r="B4" t="inlineStr">
        <is>
          <t>Inconnu</t>
        </is>
      </c>
    </row>
    <row r="5">
      <c r="A5" t="inlineStr">
        <is>
          <t>R</t>
        </is>
      </c>
      <c r="B5" t="inlineStr">
        <is>
          <t>Non identifié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theme="7"/>
    <outlinePr summaryBelow="1" summaryRight="1"/>
    <pageSetUpPr/>
  </sheetPr>
  <dimension ref="A1:A14"/>
  <sheetViews>
    <sheetView workbookViewId="0">
      <selection activeCell="A9" sqref="A9"/>
    </sheetView>
  </sheetViews>
  <sheetFormatPr baseColWidth="10" defaultRowHeight="14.25"/>
  <sheetData>
    <row r="1">
      <c r="A1" t="inlineStr">
        <is>
          <t xml:space="preserve">Pics </t>
        </is>
      </c>
    </row>
    <row r="2">
      <c r="A2" t="inlineStr">
        <is>
          <t xml:space="preserve">Araignee </t>
        </is>
      </c>
    </row>
    <row r="3">
      <c r="A3" t="inlineStr">
        <is>
          <t>Tramail</t>
        </is>
      </c>
    </row>
    <row r="4">
      <c r="A4" t="inlineStr">
        <is>
          <t xml:space="preserve">Monte </t>
        </is>
      </c>
    </row>
    <row r="5">
      <c r="A5" t="inlineStr">
        <is>
          <t>Nasse</t>
        </is>
      </c>
    </row>
    <row r="6">
      <c r="A6" t="inlineStr">
        <is>
          <t xml:space="preserve">Menier </t>
        </is>
      </c>
    </row>
    <row r="7">
      <c r="A7" t="inlineStr">
        <is>
          <t xml:space="preserve">Sonde </t>
        </is>
      </c>
    </row>
    <row r="8">
      <c r="A8" t="inlineStr">
        <is>
          <t xml:space="preserve">Traine </t>
        </is>
      </c>
    </row>
    <row r="9">
      <c r="A9" t="inlineStr">
        <is>
          <t xml:space="preserve">Leurre </t>
        </is>
      </c>
    </row>
    <row r="10">
      <c r="A10" t="inlineStr">
        <is>
          <t xml:space="preserve">Vif </t>
        </is>
      </c>
    </row>
    <row r="11">
      <c r="A11" t="inlineStr">
        <is>
          <t xml:space="preserve">Coup </t>
        </is>
      </c>
    </row>
    <row r="12">
      <c r="A12" t="inlineStr">
        <is>
          <t>Fond</t>
        </is>
      </c>
    </row>
    <row r="13">
      <c r="A13" t="inlineStr">
        <is>
          <t xml:space="preserve">Autre </t>
        </is>
      </c>
    </row>
    <row r="14">
      <c r="A14" s="57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31" sqref="A31"/>
    </sheetView>
  </sheetViews>
  <sheetFormatPr baseColWidth="10" defaultRowHeight="14.25"/>
  <cols>
    <col width="14.25" bestFit="1" customWidth="1" style="91" min="1" max="1"/>
  </cols>
  <sheetData>
    <row r="1">
      <c r="A1" t="inlineStr">
        <is>
          <t>Type de pêche /engins</t>
        </is>
      </c>
    </row>
    <row r="2">
      <c r="A2" s="16" t="inlineStr">
        <is>
          <t>Filet</t>
        </is>
      </c>
      <c r="B2" t="inlineStr">
        <is>
          <t xml:space="preserve">quand peu de précision </t>
        </is>
      </c>
    </row>
    <row r="3">
      <c r="A3" s="16" t="inlineStr">
        <is>
          <t>Pic</t>
        </is>
      </c>
    </row>
    <row r="4">
      <c r="A4" s="16" t="inlineStr">
        <is>
          <t>Ligne</t>
        </is>
      </c>
      <c r="B4" t="inlineStr">
        <is>
          <t xml:space="preserve">quand peu de précision </t>
        </is>
      </c>
    </row>
    <row r="5">
      <c r="A5" s="16" t="inlineStr">
        <is>
          <t>Monte</t>
        </is>
      </c>
    </row>
    <row r="6">
      <c r="A6" s="16" t="inlineStr">
        <is>
          <t>Traine</t>
        </is>
      </c>
    </row>
    <row r="7">
      <c r="A7" s="16" t="inlineStr">
        <is>
          <t>Filets de Fond</t>
        </is>
      </c>
      <c r="B7" t="inlineStr">
        <is>
          <t xml:space="preserve">Pic de fond </t>
        </is>
      </c>
    </row>
    <row r="8">
      <c r="A8" s="16" t="inlineStr">
        <is>
          <t>Fond + lève</t>
        </is>
      </c>
    </row>
    <row r="9">
      <c r="A9" s="16" t="inlineStr">
        <is>
          <t>Gambe</t>
        </is>
      </c>
    </row>
    <row r="10">
      <c r="A10" s="16" t="inlineStr">
        <is>
          <t>Monte</t>
        </is>
      </c>
    </row>
    <row r="11">
      <c r="A11" s="16" t="inlineStr">
        <is>
          <t>Multimaille</t>
        </is>
      </c>
    </row>
    <row r="12">
      <c r="A12" s="16" t="inlineStr">
        <is>
          <t>Nasse</t>
        </is>
      </c>
    </row>
    <row r="13">
      <c r="A13" s="16" t="inlineStr">
        <is>
          <t>Traine</t>
        </is>
      </c>
    </row>
    <row r="14">
      <c r="A14" s="16" t="inlineStr">
        <is>
          <t>Sonde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tabColor theme="8"/>
    <outlinePr summaryBelow="1" summaryRight="1"/>
    <pageSetUpPr/>
  </sheetPr>
  <dimension ref="A1:A3"/>
  <sheetViews>
    <sheetView workbookViewId="0">
      <selection activeCell="A3" sqref="A3"/>
    </sheetView>
  </sheetViews>
  <sheetFormatPr baseColWidth="10" defaultRowHeight="14.25"/>
  <cols>
    <col width="13.75" bestFit="1" customWidth="1" style="91" min="1" max="1"/>
    <col width="20.875" bestFit="1" customWidth="1" style="91" min="2" max="2"/>
  </cols>
  <sheetData>
    <row r="1">
      <c r="A1" t="inlineStr">
        <is>
          <t xml:space="preserve">Amateur </t>
        </is>
      </c>
    </row>
    <row r="2">
      <c r="A2" t="inlineStr">
        <is>
          <t xml:space="preserve">Professionnel </t>
        </is>
      </c>
    </row>
    <row r="3">
      <c r="A3" t="inlineStr">
        <is>
          <t xml:space="preserve">Scientifique 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31" sqref="A31"/>
    </sheetView>
  </sheetViews>
  <sheetFormatPr baseColWidth="10" defaultRowHeight="14.25"/>
  <cols>
    <col width="33.125" customWidth="1" style="91" min="1" max="2"/>
  </cols>
  <sheetData>
    <row r="1" ht="15" customHeight="1" s="91" thickBot="1">
      <c r="A1" s="46" t="inlineStr">
        <is>
          <t>Nom du site atelier</t>
        </is>
      </c>
    </row>
    <row r="2">
      <c r="A2" t="inlineStr">
        <is>
          <t>OIR</t>
        </is>
      </c>
    </row>
    <row r="3">
      <c r="A3" t="inlineStr">
        <is>
          <t>SCORFF</t>
        </is>
      </c>
    </row>
    <row r="4">
      <c r="A4" t="inlineStr">
        <is>
          <t>BRESLE</t>
        </is>
      </c>
    </row>
    <row r="5">
      <c r="A5" t="inlineStr">
        <is>
          <t>NIVELLE</t>
        </is>
      </c>
    </row>
    <row r="6">
      <c r="A6" t="inlineStr">
        <is>
          <t>THONON</t>
        </is>
      </c>
    </row>
    <row r="7">
      <c r="A7" t="inlineStr">
        <is>
          <t>CNICS</t>
        </is>
      </c>
    </row>
    <row r="8">
      <c r="A8" t="inlineStr">
        <is>
          <t>AUTRES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tabColor theme="6"/>
    <outlinePr summaryBelow="1" summaryRight="1"/>
    <pageSetUpPr/>
  </sheetPr>
  <dimension ref="A1:B5"/>
  <sheetViews>
    <sheetView workbookViewId="0">
      <selection activeCell="A31" sqref="A31"/>
    </sheetView>
  </sheetViews>
  <sheetFormatPr baseColWidth="10" defaultRowHeight="14.25"/>
  <cols>
    <col width="12.25" customWidth="1" style="91" min="2" max="2"/>
  </cols>
  <sheetData>
    <row r="1" ht="29.25" customHeight="1" s="91" thickBot="1">
      <c r="A1" s="65" t="inlineStr">
        <is>
          <t>Code type echantillon</t>
        </is>
      </c>
      <c r="B1" s="64" t="inlineStr">
        <is>
          <t>Description</t>
        </is>
      </c>
    </row>
    <row r="2">
      <c r="A2" s="63" t="inlineStr">
        <is>
          <t>+</t>
        </is>
      </c>
      <c r="B2" s="62" t="inlineStr">
        <is>
          <t>1 à 5 écailles</t>
        </is>
      </c>
    </row>
    <row r="3">
      <c r="A3" s="61" t="inlineStr">
        <is>
          <t>++</t>
        </is>
      </c>
      <c r="B3" s="60" t="inlineStr">
        <is>
          <t xml:space="preserve">5 à 10 écailles </t>
        </is>
      </c>
    </row>
    <row r="4" ht="15" customHeight="1" s="91" thickBot="1">
      <c r="A4" s="59" t="inlineStr">
        <is>
          <t>+++</t>
        </is>
      </c>
      <c r="B4" s="58" t="inlineStr">
        <is>
          <t xml:space="preserve">&gt; 10 écailles </t>
        </is>
      </c>
    </row>
    <row r="5">
      <c r="B5" s="5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tabColor theme="8" tint="0.5999938962981048"/>
    <outlinePr summaryBelow="1" summaryRight="1"/>
    <pageSetUpPr/>
  </sheetPr>
  <dimension ref="A1:C7"/>
  <sheetViews>
    <sheetView workbookViewId="0">
      <selection activeCell="A31" sqref="A31"/>
    </sheetView>
  </sheetViews>
  <sheetFormatPr baseColWidth="10" defaultRowHeight="14.25"/>
  <cols>
    <col width="14.125" bestFit="1" customWidth="1" style="91" min="1" max="1"/>
    <col width="26.25" customWidth="1" style="91" min="2" max="2"/>
    <col width="97.625" customWidth="1" style="91" min="3" max="3"/>
  </cols>
  <sheetData>
    <row r="1" ht="15" customFormat="1" customHeight="1" s="43">
      <c r="A1" s="68" t="inlineStr">
        <is>
          <t>CodeMigration</t>
        </is>
      </c>
      <c r="B1" s="68" t="inlineStr">
        <is>
          <t>Description CodeMigration</t>
        </is>
      </c>
      <c r="C1" s="68" t="n"/>
    </row>
    <row r="2" ht="15" customHeight="1" s="91">
      <c r="A2" s="67" t="inlineStr">
        <is>
          <t>D</t>
        </is>
      </c>
      <c r="B2" s="67" t="inlineStr">
        <is>
          <t>Dévalaison</t>
        </is>
      </c>
      <c r="C2" s="66" t="n"/>
    </row>
    <row r="3" ht="15" customHeight="1" s="91">
      <c r="A3" s="67" t="inlineStr">
        <is>
          <t>F</t>
        </is>
      </c>
      <c r="B3" s="67" t="inlineStr">
        <is>
          <t>En reprouction</t>
        </is>
      </c>
      <c r="C3" s="66" t="n"/>
    </row>
    <row r="4" ht="15" customHeight="1" s="91">
      <c r="A4" s="67" t="inlineStr">
        <is>
          <t>M</t>
        </is>
      </c>
      <c r="B4" s="67" t="inlineStr">
        <is>
          <t>Montaison</t>
        </is>
      </c>
      <c r="C4" s="66" t="n"/>
    </row>
    <row r="5" ht="15" customHeight="1" s="91">
      <c r="A5" s="67" t="inlineStr">
        <is>
          <t>N</t>
        </is>
      </c>
      <c r="B5" s="67" t="inlineStr">
        <is>
          <t>Non recherché</t>
        </is>
      </c>
      <c r="C5" s="66" t="n"/>
    </row>
    <row r="6" ht="15" customHeight="1" s="91">
      <c r="A6" s="67" t="inlineStr">
        <is>
          <t>R</t>
        </is>
      </c>
      <c r="B6" s="67" t="inlineStr">
        <is>
          <t>Recherché mais non déterminé</t>
        </is>
      </c>
      <c r="C6" s="66" t="n"/>
    </row>
    <row r="7" ht="15" customHeight="1" s="91">
      <c r="A7" s="67" t="inlineStr">
        <is>
          <t>S</t>
        </is>
      </c>
      <c r="B7" s="67" t="inlineStr">
        <is>
          <t>Sédentaire</t>
        </is>
      </c>
      <c r="C7" s="66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tabColor theme="2" tint="-0.249977111117893"/>
    <outlinePr summaryBelow="1" summaryRight="1"/>
    <pageSetUpPr/>
  </sheetPr>
  <dimension ref="A1:B17"/>
  <sheetViews>
    <sheetView workbookViewId="0">
      <selection activeCell="A31" sqref="A31"/>
    </sheetView>
  </sheetViews>
  <sheetFormatPr baseColWidth="10" defaultRowHeight="14.25"/>
  <cols>
    <col width="16.25" customWidth="1" style="91" min="1" max="1"/>
    <col width="39.625" customWidth="1" style="91" min="2" max="2"/>
  </cols>
  <sheetData>
    <row r="1" ht="31.9" customFormat="1" customHeight="1" s="43" thickBot="1">
      <c r="A1" s="55" t="inlineStr">
        <is>
          <t>Code marque individuelle</t>
        </is>
      </c>
      <c r="B1" s="44" t="inlineStr">
        <is>
          <t>Libellé</t>
        </is>
      </c>
    </row>
    <row r="2">
      <c r="A2" t="inlineStr">
        <is>
          <t>ABLA</t>
        </is>
      </c>
      <c r="B2" t="inlineStr">
        <is>
          <t>Ablation</t>
        </is>
      </c>
    </row>
    <row r="3">
      <c r="A3" t="inlineStr">
        <is>
          <t>CARL</t>
        </is>
      </c>
      <c r="B3" t="inlineStr">
        <is>
          <t>Carlin</t>
        </is>
      </c>
    </row>
    <row r="4">
      <c r="A4" t="inlineStr">
        <is>
          <t>COLO</t>
        </is>
      </c>
      <c r="B4" t="inlineStr">
        <is>
          <t>Colorant</t>
        </is>
      </c>
    </row>
    <row r="5">
      <c r="A5" t="inlineStr">
        <is>
          <t>CRYO</t>
        </is>
      </c>
      <c r="B5" t="inlineStr">
        <is>
          <t>Cryomarquage (azote)</t>
        </is>
      </c>
    </row>
    <row r="6">
      <c r="A6" t="inlineStr">
        <is>
          <t>ELAS</t>
        </is>
      </c>
      <c r="B6" t="inlineStr">
        <is>
          <t>Elastomère</t>
        </is>
      </c>
    </row>
    <row r="7">
      <c r="A7" t="inlineStr">
        <is>
          <t>EMET</t>
        </is>
      </c>
      <c r="B7" t="inlineStr">
        <is>
          <t>Emetteur</t>
        </is>
      </c>
    </row>
    <row r="8">
      <c r="A8" t="inlineStr">
        <is>
          <t>FER</t>
        </is>
      </c>
      <c r="B8" t="inlineStr">
        <is>
          <t>Cryo</t>
        </is>
      </c>
    </row>
    <row r="9">
      <c r="A9" t="inlineStr">
        <is>
          <t>FTAG</t>
        </is>
      </c>
      <c r="B9" t="inlineStr">
        <is>
          <t>Floytag</t>
        </is>
      </c>
    </row>
    <row r="10">
      <c r="A10" t="inlineStr">
        <is>
          <t>MMNA</t>
        </is>
      </c>
      <c r="B10" t="inlineStr">
        <is>
          <t>MK3</t>
        </is>
      </c>
    </row>
    <row r="11">
      <c r="A11" t="inlineStr">
        <is>
          <t>PITS</t>
        </is>
      </c>
      <c r="B11" t="inlineStr">
        <is>
          <t>Pit Tag</t>
        </is>
      </c>
    </row>
    <row r="12">
      <c r="A12" t="inlineStr">
        <is>
          <t>ENOP</t>
        </is>
      </c>
      <c r="B12" t="inlineStr">
        <is>
          <t>Encoche operculaire</t>
        </is>
      </c>
    </row>
    <row r="13">
      <c r="A13" t="inlineStr">
        <is>
          <t>ACCE</t>
        </is>
      </c>
      <c r="B13" t="inlineStr">
        <is>
          <t>accéléromètre</t>
        </is>
      </c>
    </row>
    <row r="14">
      <c r="A14" t="inlineStr">
        <is>
          <t>IMPV</t>
        </is>
      </c>
      <c r="B14" t="inlineStr">
        <is>
          <t>Implant visible</t>
        </is>
      </c>
    </row>
    <row r="15">
      <c r="A15" t="inlineStr">
        <is>
          <t>TELE</t>
        </is>
      </c>
      <c r="B15" t="inlineStr">
        <is>
          <t>Emetteur télémétrique radio ou sonique</t>
        </is>
      </c>
    </row>
    <row r="16">
      <c r="A16" t="inlineStr">
        <is>
          <t>_NNNN</t>
        </is>
      </c>
      <c r="B16" t="inlineStr">
        <is>
          <t>Pas de marquage</t>
        </is>
      </c>
    </row>
    <row r="17">
      <c r="A17" t="inlineStr">
        <is>
          <t>ARS</t>
        </is>
      </c>
      <c r="B17" t="inlineStr">
        <is>
          <t>Alizarine</t>
        </is>
      </c>
    </row>
  </sheetData>
  <pageMargins left="0.7" right="0.7" top="0.75" bottom="0.75" header="0.3" footer="0.3"/>
  <pageSetup orientation="portrait" paperSize="9"/>
</worksheet>
</file>

<file path=xl/worksheets/sheet17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A1:F5"/>
  <sheetViews>
    <sheetView workbookViewId="0">
      <selection activeCell="A31" sqref="A31"/>
    </sheetView>
  </sheetViews>
  <sheetFormatPr baseColWidth="10" defaultRowHeight="14.25"/>
  <cols>
    <col width="78.125" customWidth="1" style="91" min="4" max="4"/>
    <col width="20.875" customWidth="1" style="91" min="5" max="5"/>
    <col width="38.125" customWidth="1" style="91" min="6" max="6"/>
  </cols>
  <sheetData>
    <row r="1" ht="29.45" customFormat="1" customHeight="1" s="70">
      <c r="A1" s="71" t="inlineStr">
        <is>
          <t>Numero correspondant</t>
        </is>
      </c>
      <c r="B1" s="71" t="inlineStr">
        <is>
          <t>Nom</t>
        </is>
      </c>
      <c r="C1" s="70" t="inlineStr">
        <is>
          <t>Prénom</t>
        </is>
      </c>
      <c r="D1" s="71" t="inlineStr">
        <is>
          <t>Adresse</t>
        </is>
      </c>
      <c r="E1" s="70" t="inlineStr">
        <is>
          <t>Téléphone</t>
        </is>
      </c>
      <c r="F1" s="70" t="inlineStr">
        <is>
          <t>Mail</t>
        </is>
      </c>
    </row>
    <row r="2">
      <c r="A2" s="69" t="n">
        <v>1</v>
      </c>
      <c r="B2" s="69" t="inlineStr">
        <is>
          <t>Marchand</t>
        </is>
      </c>
      <c r="C2" t="inlineStr">
        <is>
          <t>Frédéric</t>
        </is>
      </c>
      <c r="D2" s="69" t="inlineStr">
        <is>
          <t>65 rue de St Brieuc, CS 84215, 35042 Rennes Cedex</t>
        </is>
      </c>
      <c r="E2" t="inlineStr">
        <is>
          <t>02 23 48 57 86</t>
        </is>
      </c>
      <c r="F2" t="inlineStr">
        <is>
          <t>Frederic.marchand@rennes.inra.fr</t>
        </is>
      </c>
    </row>
    <row r="3">
      <c r="A3" s="69" t="n">
        <v>2</v>
      </c>
      <c r="B3" s="69" t="inlineStr">
        <is>
          <t>Jeannot</t>
        </is>
      </c>
      <c r="C3" t="inlineStr">
        <is>
          <t>Nicolas</t>
        </is>
      </c>
      <c r="D3" s="69" t="inlineStr">
        <is>
          <t>Moulin des Princes, 56620 Pont-Scorff</t>
        </is>
      </c>
      <c r="E3" t="inlineStr">
        <is>
          <t>02 97 32 54 29</t>
        </is>
      </c>
      <c r="F3" t="inlineStr">
        <is>
          <t>Nicolas.Jeannot@rennes.inra.fr</t>
        </is>
      </c>
    </row>
    <row r="4">
      <c r="A4" s="69" t="n">
        <v>3</v>
      </c>
      <c r="B4" s="69" t="inlineStr">
        <is>
          <t>Lange</t>
        </is>
      </c>
      <c r="C4" t="inlineStr">
        <is>
          <t>Frédéric</t>
        </is>
      </c>
      <c r="D4" s="69" t="inlineStr">
        <is>
          <t xml:space="preserve">Aquapôle de St Pée/Nivelle quartier Ibarron BP3 64310 SAINT-PEE-SUR-NIVELLE </t>
        </is>
      </c>
      <c r="E4" t="inlineStr">
        <is>
          <t>05 59 51 59 75</t>
        </is>
      </c>
      <c r="F4" t="inlineStr">
        <is>
          <t>Frederic.Lange@st-pee.inra.fr</t>
        </is>
      </c>
    </row>
    <row r="5">
      <c r="A5" s="69" t="n">
        <v>4</v>
      </c>
      <c r="B5" s="69" t="inlineStr">
        <is>
          <t>Hamelet</t>
        </is>
      </c>
      <c r="C5" t="inlineStr">
        <is>
          <t>Valérie</t>
        </is>
      </c>
      <c r="D5" s="69" t="inlineStr">
        <is>
          <t xml:space="preserve">75 avenue de Corzent BP 511 74203 THONON-LES-BAINS CEDEX </t>
        </is>
      </c>
      <c r="E5" t="inlineStr">
        <is>
          <t>04 50 26 78 38</t>
        </is>
      </c>
      <c r="F5" t="inlineStr">
        <is>
          <t>Valerie.Hamelet@thonon.inra.fr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Valerie Hamelet</dc:creator>
  <dcterms:created xmlns:dcterms="http://purl.org/dc/terms/" xmlns:xsi="http://www.w3.org/2001/XMLSchema-instance" xsi:type="dcterms:W3CDTF">2026-02-02T08:02:51Z</dcterms:created>
  <dcterms:modified xmlns:dcterms="http://purl.org/dc/terms/" xmlns:xsi="http://www.w3.org/2001/XMLSchema-instance" xsi:type="dcterms:W3CDTF">2026-02-25T14:04:40Z</dcterms:modified>
  <cp:lastModifiedBy>Anatole Aubin</cp:lastModifiedBy>
</cp:coreProperties>
</file>